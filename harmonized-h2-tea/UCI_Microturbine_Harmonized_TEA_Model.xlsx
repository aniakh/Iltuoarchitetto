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2.xml" ContentType="application/vnd.openxmlformats-officedocument.spreadsheetml.comments+xml"/>
  <Override PartName="/xl/worksheets/sheet15.xml" ContentType="application/vnd.openxmlformats-officedocument.spreadsheetml.worksheet+xml"/>
  <Override PartName="/xl/comments/comment3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/comment4.xml" ContentType="application/vnd.openxmlformats-officedocument.spreadsheetml.comments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DME" sheetId="1" state="visible" r:id="rId1"/>
    <sheet name="Global_Assumptions" sheetId="2" state="visible" r:id="rId2"/>
    <sheet name="Component_Register" sheetId="3" state="visible" r:id="rId3"/>
    <sheet name="Reliability_Inputs" sheetId="4" state="visible" r:id="rId4"/>
    <sheet name="H2_Effect" sheetId="5" state="visible" r:id="rId5"/>
    <sheet name="Failure_Rates" sheetId="6" state="visible" r:id="rId6"/>
    <sheet name="Pipe_Integrity" sheetId="7" state="visible" r:id="rId7"/>
    <sheet name="PoF_Summary" sheetId="8" state="visible" r:id="rId8"/>
    <sheet name="Inspection_Maint" sheetId="9" state="visible" r:id="rId9"/>
    <sheet name="Blend_Properties" sheetId="10" state="visible" r:id="rId10"/>
    <sheet name="TEA_CAPEX" sheetId="11" state="visible" r:id="rId11"/>
    <sheet name="TEA_Hydraulics" sheetId="12" state="visible" r:id="rId12"/>
    <sheet name="TEA_OPEX_Perf" sheetId="13" state="visible" r:id="rId13"/>
    <sheet name="TEA_Network" sheetId="14" state="visible" r:id="rId14"/>
    <sheet name="TEA_Levelized" sheetId="15" state="visible" r:id="rId15"/>
    <sheet name="TEA_Pathways" sheetId="16" state="visible" r:id="rId16"/>
    <sheet name="Scenario_Results" sheetId="17" state="visible" r:id="rId17"/>
    <sheet name="Lifecycle_50yr" sheetId="18" state="visible" r:id="rId18"/>
    <sheet name="Fuel_Cost" sheetId="19" state="visible" r:id="rId19"/>
    <sheet name="Thermoflex_Validation" sheetId="20" state="visible" r:id="rId20"/>
    <sheet name="Cashflow_50yr" sheetId="21" state="visible" r:id="rId21"/>
    <sheet name="NPV_Comparison" sheetId="22" state="visible" r:id="rId22"/>
    <sheet name="Use_Case_Summary" sheetId="23" state="visible" r:id="rId23"/>
    <sheet name="Validation_Tests" sheetId="24" state="visible" r:id="rId24"/>
    <sheet name="Corrections_Log" sheetId="25" state="visible" r:id="rId25"/>
  </sheets>
  <definedNames/>
  <calcPr calcId="124519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\$#,##0.00"/>
    <numFmt numFmtId="166" formatCode="\$#,##0"/>
    <numFmt numFmtId="167" formatCode="\$#,##0.000"/>
  </numFmts>
  <fonts count="2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3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1F4E79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1F4E79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6F5C"/>
      <sz val="10"/>
    </font>
    <font>
      <name val="Arial"/>
      <charset val="1"/>
      <family val="0"/>
      <color rgb="FF555555"/>
      <sz val="9"/>
    </font>
    <font>
      <name val="Arial"/>
      <charset val="1"/>
      <family val="0"/>
      <i val="1"/>
      <color rgb="FF555555"/>
      <sz val="10"/>
    </font>
    <font>
      <name val="Arial"/>
      <charset val="1"/>
      <family val="0"/>
      <color rgb="FF000000"/>
      <sz val="9"/>
    </font>
    <font>
      <name val="Cambria"/>
      <charset val="1"/>
      <family val="0"/>
      <b val="1"/>
      <color rgb="FF1F4E79"/>
      <sz val="13"/>
    </font>
    <font>
      <name val="Cambria"/>
      <charset val="1"/>
      <family val="0"/>
      <i val="1"/>
      <color rgb="FF5B6675"/>
      <sz val="9"/>
    </font>
    <font>
      <name val="&lt;openpyxl.styles.fills.PatternFill object&gt;&#10;Parameters:&#10;patternType='solid', fgColor=&lt;openpyxl.styles.colors.Color object&gt;&#10;Parameters:&#10;rgb='005B6675', indexed=None, auto=None, theme=None, tint=0.0, type='rgb', bgColor=&lt;openpyxl.styles.colors.Color object&gt;&#10;Parameters:&#10;rgb='00000000', indexed=None, auto=None, theme=None, tint=0.0, type='rgb'"/>
      <charset val="1"/>
      <family val="0"/>
      <sz val="11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b val="1"/>
      <sz val="10"/>
    </font>
    <font>
      <name val="Arial"/>
      <color rgb="FF000000"/>
      <sz val="10"/>
    </font>
    <font>
      <name val="Arial"/>
      <b val="1"/>
      <color rgb="FF1F6F5C"/>
      <sz val="10"/>
    </font>
    <font>
      <name val="Arial"/>
      <color rgb="FF0000FF"/>
      <sz val="10"/>
    </font>
    <font>
      <name val="Arial"/>
      <color rgb="FF008000"/>
      <sz val="10"/>
    </font>
    <font>
      <name val="Arial"/>
      <b val="1"/>
      <color rgb="FFC00000"/>
      <sz val="10"/>
    </font>
    <font>
      <name val="Arial"/>
      <b val="1"/>
      <color rgb="FF1F6F5C"/>
      <sz val="11"/>
    </font>
    <font>
      <name val="Arial"/>
      <b val="1"/>
      <color rgb="FFFFFFFF"/>
      <sz val="11"/>
    </font>
  </fonts>
  <fills count="9">
    <fill>
      <patternFill/>
    </fill>
    <fill>
      <patternFill patternType="gray125"/>
    </fill>
    <fill>
      <patternFill patternType="solid">
        <fgColor rgb="FF1F4E79"/>
        <bgColor rgb="FF2C3E50"/>
      </patternFill>
    </fill>
    <fill>
      <patternFill patternType="solid">
        <fgColor rgb="FFE8F0EC"/>
        <bgColor rgb="FFFFFFFF"/>
      </patternFill>
    </fill>
    <fill>
      <patternFill patternType="solid">
        <fgColor rgb="FF5B6675"/>
        <bgColor rgb="FF666666"/>
      </patternFill>
    </fill>
    <fill>
      <patternFill patternType="solid">
        <fgColor rgb="FF2C3E50"/>
        <bgColor rgb="FF1F4E79"/>
      </patternFill>
    </fill>
    <fill>
      <patternFill patternType="solid">
        <fgColor rgb="FFE8F0EC"/>
      </patternFill>
    </fill>
    <fill>
      <patternFill patternType="solid">
        <fgColor rgb="FFFFF3CD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2" borderId="1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4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1" fontId="9" fillId="0" borderId="0" applyAlignment="1" pivotButton="0" quotePrefix="0" xfId="0">
      <alignment horizontal="general" vertical="bottom"/>
    </xf>
    <xf numFmtId="4" fontId="10" fillId="0" borderId="0" applyAlignment="1" pivotButton="0" quotePrefix="0" xfId="0">
      <alignment horizontal="general" vertical="bottom"/>
    </xf>
    <xf numFmtId="4" fontId="7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1" fontId="10" fillId="0" borderId="0" applyAlignment="1" pivotButton="0" quotePrefix="0" xfId="0">
      <alignment horizontal="general" vertical="bottom"/>
    </xf>
    <xf numFmtId="11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6" fontId="10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top" wrapText="1"/>
    </xf>
    <xf numFmtId="0" fontId="19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20" fillId="5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2" borderId="1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4" fontId="25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66" fontId="22" fillId="0" borderId="0" applyAlignment="1" pivotButton="0" quotePrefix="0" xfId="0">
      <alignment horizontal="general" vertical="bottom"/>
    </xf>
    <xf numFmtId="165" fontId="22" fillId="0" borderId="0" applyAlignment="1" pivotButton="0" quotePrefix="0" xfId="0">
      <alignment horizontal="general" vertical="bottom"/>
    </xf>
    <xf numFmtId="4" fontId="9" fillId="0" borderId="0" applyAlignment="1" pivotButton="0" quotePrefix="0" xfId="0">
      <alignment horizontal="general" vertical="bottom"/>
    </xf>
    <xf numFmtId="164" fontId="22" fillId="0" borderId="0" applyAlignment="1" pivotButton="0" quotePrefix="0" xfId="0">
      <alignment horizontal="general" vertical="bottom"/>
    </xf>
    <xf numFmtId="4" fontId="22" fillId="0" borderId="0" applyAlignment="1" pivotButton="0" quotePrefix="0" xfId="0">
      <alignment horizontal="general" vertical="bottom"/>
    </xf>
    <xf numFmtId="11" fontId="9" fillId="0" borderId="0" applyAlignment="1" pivotButton="0" quotePrefix="0" xfId="0">
      <alignment horizontal="general" vertical="bottom"/>
    </xf>
    <xf numFmtId="0" fontId="23" fillId="6" borderId="0" pivotButton="0" quotePrefix="0" xfId="0"/>
    <xf numFmtId="0" fontId="0" fillId="6" borderId="0" pivotButton="0" quotePrefix="0" xfId="0"/>
    <xf numFmtId="0" fontId="22" fillId="0" borderId="0" pivotButton="0" quotePrefix="0" xfId="0"/>
    <xf numFmtId="0" fontId="24" fillId="7" borderId="0" pivotButton="0" quotePrefix="0" xfId="0"/>
    <xf numFmtId="4" fontId="10" fillId="0" borderId="0" applyAlignment="1" pivotButton="0" quotePrefix="0" xfId="0">
      <alignment horizontal="general" vertical="bottom"/>
    </xf>
    <xf numFmtId="4" fontId="7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1" fontId="10" fillId="0" borderId="0" applyAlignment="1" pivotButton="0" quotePrefix="0" xfId="0">
      <alignment horizontal="general" vertical="bottom"/>
    </xf>
    <xf numFmtId="11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6" fontId="10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top" wrapText="1"/>
    </xf>
    <xf numFmtId="0" fontId="19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20" fillId="5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0" fontId="28" fillId="8" borderId="0" pivotButton="0" quotePrefix="0" xfId="0"/>
    <xf numFmtId="0" fontId="22" fillId="0" borderId="0" applyAlignment="1" pivotButton="0" quotePrefix="0" xfId="0">
      <alignment vertical="top" wrapText="1"/>
    </xf>
    <xf numFmtId="0" fontId="26" fillId="2" borderId="1" applyAlignment="1" pivotButton="0" quotePrefix="0" xfId="0">
      <alignment horizontal="center" vertical="center" wrapText="1"/>
    </xf>
    <xf numFmtId="0" fontId="23" fillId="0" borderId="0" pivotButton="0" quotePrefix="0" xfId="0"/>
    <xf numFmtId="0" fontId="27" fillId="0" borderId="0" pivotButton="0" quotePrefix="0" xfId="0"/>
    <xf numFmtId="0" fontId="26" fillId="0" borderId="0" applyAlignment="1" pivotButton="0" quotePrefix="0" xfId="0">
      <alignment vertical="top" wrapText="1"/>
    </xf>
    <xf numFmtId="0" fontId="23" fillId="7" borderId="0" pivotButton="0" quotePrefix="0" xfId="0"/>
    <xf numFmtId="0" fontId="0" fillId="7" borderId="0" pivotButton="0" quotePrefix="0" xfId="0"/>
    <xf numFmtId="0" fontId="26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5C"/>
      <rgbColor rgb="FFC0C0C0"/>
      <rgbColor rgb="FF666666"/>
      <rgbColor rgb="FF9999FF"/>
      <rgbColor rgb="FF993366"/>
      <rgbColor rgb="FFE8F0EC"/>
      <rgbColor rgb="FFCCFFFF"/>
      <rgbColor rgb="FF660066"/>
      <rgbColor rgb="FFFF8080"/>
      <rgbColor rgb="FF0066CC"/>
      <rgbColor rgb="FFC9D3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675"/>
      <rgbColor rgb="FF969696"/>
      <rgbColor rgb="FF003366"/>
      <rgbColor rgb="FF339966"/>
      <rgbColor rgb="FF003300"/>
      <rgbColor rgb="FF555555"/>
      <rgbColor rgb="FF993300"/>
      <rgbColor rgb="FF993366"/>
      <rgbColor rgb="FF1F4E7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omments/comment1.xml><?xml version="1.0" encoding="utf-8"?>
<comments xmlns="http://schemas.openxmlformats.org/spreadsheetml/2006/main">
  <authors>
    <author>TEA review</author>
  </authors>
  <commentList>
    <comment ref="B11" authorId="0" shapeId="0">
      <text>
        <t>Review fix #9: LCOH previously used a fixed 0.97 while cashflow used the derived ~0.955. Now both use the derived series.</t>
      </text>
    </comment>
    <comment ref="B20" authorId="0" shapeId="0">
      <text>
        <t>Review fix #1.2: base case $0. LCFS is a transport-fuel program; stationary eligibility must be documented before switching on.</t>
      </text>
    </comment>
    <comment ref="B25" authorId="0" shapeId="0">
      <text>
        <t>Review fix #4 (units): 33.3 kWh/kg x 0.0036 = 0.11988 GJ/kg. The previous hardcoded 0.113745 was ~5.4% too low and inflated H2 mass demand.</t>
      </text>
    </comment>
    <comment ref="B31" authorId="0" shapeId="0">
      <text>
        <t>Review fix #3: CCS was charged in every blend incl. 0%. Now an explicit option.</t>
      </text>
    </comment>
    <comment ref="B66" authorId="0" shapeId="0">
      <text>
        <t>Review fix #1.3: an end user cannot pay for H2 as fuel AND book $/kg production revenue. Base OFF; use avoided-cost framing / incremental NPV.</t>
      </text>
    </comment>
    <comment ref="B68" authorId="0" shapeId="0">
      <text>
        <t>Review fix #1.1: 45V accrues to the qualified producer for 10 years, not the end user for 50. Base OFF.</t>
      </text>
    </comment>
    <comment ref="B82" authorId="0" shapeId="0">
      <text>
        <t>CCS is now an explicit option. Base case OFF, so no scenario is charged CCS.</t>
      </text>
    </comment>
    <comment ref="B83" authorId="0" shapeId="0">
      <text>
        <t>Stationary CHP/kiln/transport LCFS eligibility is unproven -&gt; base OFF.</t>
      </text>
    </comment>
    <comment ref="B84" authorId="0" shapeId="0">
      <text>
        <t>CARB weekly avg ~$66/t (was $150). Only used when LCFS eligible=1.</t>
      </text>
    </comment>
    <comment ref="B85" authorId="0" shapeId="0">
      <text>
        <t>45V is earned by the qualified H2 PRODUCER, not the end user -&gt; base OFF.</t>
      </text>
    </comment>
    <comment ref="B86" authorId="0" shapeId="0">
      <text>
        <t>45V statutory credit period is 10 years, not 50.</t>
      </text>
    </comment>
    <comment ref="B87" authorId="0" shapeId="0">
      <text>
        <t>End users purchase and consume H2; they cannot also book $/kg production revenue. Base OFF.</t>
      </text>
    </comment>
  </commentList>
</comments>
</file>

<file path=xl/comments/comment2.xml><?xml version="1.0" encoding="utf-8"?>
<comments xmlns="http://schemas.openxmlformats.org/spreadsheetml/2006/main">
  <authors>
    <author>TEA review</author>
  </authors>
  <commentList>
    <comment ref="B7" authorId="0" shapeId="0">
      <text>
        <t>Units are $/MWh useful — reported separately, never summed into the $/kg total.</t>
      </text>
    </comment>
    <comment ref="B8" authorId="0" shapeId="0">
      <text>
        <t>Review fix #11.1/11.2: end-use integration is $/MWh and cannot be added to $/kg layers. Stale cached total also refreshed on recalc.</t>
      </text>
    </comment>
  </commentList>
</comments>
</file>

<file path=xl/comments/comment3.xml><?xml version="1.0" encoding="utf-8"?>
<comments xmlns="http://schemas.openxmlformats.org/spreadsheetml/2006/main">
  <authors>
    <author>TEA review</author>
  </authors>
  <commentList>
    <comment ref="D3" authorId="0" shapeId="0">
      <text>
        <t>Only differs from LCOH when 45V eligible=1 in Global_Assumptions.</t>
      </text>
    </comment>
    <comment ref="B4" authorId="0" shapeId="0">
      <text>
        <t>Review fix: at 0% H2 there is no hydrogen -&gt; LCOH is N/A (not 0 or -$1.35/kg).</t>
      </text>
    </comment>
  </commentList>
</comments>
</file>

<file path=xl/comments/comment4.xml><?xml version="1.0" encoding="utf-8"?>
<comments xmlns="http://schemas.openxmlformats.org/spreadsheetml/2006/main">
  <authors>
    <author>TEA review</author>
  </authors>
  <commentList>
    <comment ref="E7" authorId="0" shapeId="0">
      <text>
        <t>Review fix #10: efficiency RISES slightly with H2 (Thermoflex), matching Fuel_Cost. Was 1-gain (a derate), inconsistent with the Fuel_Cost sheet.</t>
      </text>
    </comment>
    <comment ref="K17" authorId="0" shapeId="0">
      <text>
        <t>Review fix #1.1: IRA 45V applied only in years 1..(45V duration); LCFS continues while eligible.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44" min="1" max="1"/>
    <col width="82" customWidth="1" style="44" min="2" max="2"/>
  </cols>
  <sheetData>
    <row r="1" ht="15.75" customHeight="1" s="45">
      <c r="A1" s="97" t="inlineStr">
        <is>
          <t>PRELIMINARY — SCREENING ONLY, NON-DECISION-GRADE (revised per technical review)</t>
        </is>
      </c>
    </row>
    <row r="2" ht="15" customHeight="1" s="45">
      <c r="A2" s="98" t="inlineStr">
        <is>
          <t>Base case now excludes LCFS, IRA 45V, CCS and $/kg offtake revenue (all behind explicit toggles in Global_Assumptions); H2 energy basis is LHV-consistent; NPV is reported incremental to the 0% baseline. See the Corrections_Log and Validation_Tests sheets. Do NOT use LCOH/NPV/abatement figures for investment decisions or cross-site ranking.</t>
        </is>
      </c>
    </row>
    <row r="4" ht="57.75" customHeight="1" s="45"/>
    <row r="5">
      <c r="A5" s="46" t="inlineStr">
        <is>
          <t>HARMONIZED H2 TEA + RELIABILITY MODEL — UCI Microturbine</t>
        </is>
      </c>
    </row>
    <row r="6" ht="15" customHeight="1" s="45">
      <c r="A6" s="47" t="inlineStr">
        <is>
          <t>UCI Capstone C200 Microturbine (~200 kW)</t>
        </is>
      </c>
    </row>
    <row r="7" ht="15" customHeight="1" s="45"/>
    <row r="8" ht="15" customHeight="1" s="45">
      <c r="A8" s="48" t="inlineStr">
        <is>
          <t>Harmonization note</t>
        </is>
      </c>
      <c r="B8" s="49" t="inlineStr">
        <is>
          <t>This workbook is one of five case studies built on a single harmonized template. The Global_Assumptions sheet, all formulas, the PoF thresholds (FCGR multipliers, base leak/burst rates, 20-yr horizon) and the inspection/maintenance unit costs are IDENTICAL across every case study. Only the Component_Register and system parameters differ by configuration.</t>
        </is>
      </c>
    </row>
    <row r="9" ht="15" customHeight="1" s="45"/>
    <row r="10">
      <c r="A10" s="50" t="inlineStr">
        <is>
          <t>System type</t>
        </is>
      </c>
      <c r="B10" s="51" t="inlineStr">
        <is>
          <t>End-use delivery (low demand)</t>
        </is>
      </c>
    </row>
    <row r="11" ht="15" customHeight="1" s="45">
      <c r="A11" s="50" t="inlineStr">
        <is>
          <t>End use</t>
        </is>
      </c>
      <c r="B11" s="51" t="inlineStr">
        <is>
          <t>Capstone C200 microturbine (~200 kW)</t>
        </is>
      </c>
    </row>
    <row r="12" ht="15" customHeight="1" s="45">
      <c r="A12" s="50" t="inlineStr">
        <is>
          <t>Operating / native pressure</t>
        </is>
      </c>
      <c r="B12" s="51" t="inlineStr">
        <is>
          <t>44 psig (~3 bar)</t>
        </is>
      </c>
    </row>
    <row r="13" ht="15" customHeight="1" s="45">
      <c r="A13" s="50" t="inlineStr">
        <is>
          <t>Pipe / lateral</t>
        </is>
      </c>
      <c r="B13" s="51" t="inlineStr">
        <is>
          <t>API 5L B, 2-in OD, 0.154-in WT, MOP 200 psi, 1 mi, 1 segment(s)</t>
        </is>
      </c>
    </row>
    <row r="14" ht="15" customHeight="1" s="45"/>
    <row r="15" ht="15" customHeight="1" s="45">
      <c r="A15" s="48" t="inlineStr">
        <is>
          <t>SHEET INDEX</t>
        </is>
      </c>
    </row>
    <row r="16" ht="15" customHeight="1" s="45">
      <c r="A16" s="50" t="inlineStr">
        <is>
          <t>1. README</t>
        </is>
      </c>
      <c r="B16" s="49" t="inlineStr">
        <is>
          <t>This sheet</t>
        </is>
      </c>
    </row>
    <row r="17" ht="15" customHeight="1" s="45">
      <c r="A17" s="50" t="inlineStr">
        <is>
          <t>2. Global_Assumptions</t>
        </is>
      </c>
      <c r="B17" s="49" t="inlineStr">
        <is>
          <t>Shared inputs — IDENTICAL across all case studies (blue = master inputs)</t>
        </is>
      </c>
    </row>
    <row r="18" ht="15" customHeight="1" s="45">
      <c r="A18" s="50" t="inlineStr">
        <is>
          <t>3. Component_Register</t>
        </is>
      </c>
      <c r="B18" s="49" t="inlineStr">
        <is>
          <t>System-specific components and counts</t>
        </is>
      </c>
    </row>
    <row r="19" ht="15" customHeight="1" s="45">
      <c r="A19" s="50" t="inlineStr">
        <is>
          <t>4. Reliability_Inputs</t>
        </is>
      </c>
      <c r="B19" s="49" t="inlineStr">
        <is>
          <t>OREDA failure-mode rates (LB/mean/UB) per component</t>
        </is>
      </c>
    </row>
    <row r="20" ht="15" customHeight="1" s="45">
      <c r="A20" s="50" t="inlineStr">
        <is>
          <t>5. H2_Effect</t>
        </is>
      </c>
      <c r="B20" s="49" t="inlineStr">
        <is>
          <t>Hydrogen amplification by pressure band + FCGR multipliers (thresholds)</t>
        </is>
      </c>
    </row>
    <row r="21" ht="15" customHeight="1" s="45">
      <c r="A21" s="50" t="inlineStr">
        <is>
          <t>6. Failure_Rates</t>
        </is>
      </c>
      <c r="B21" s="49" t="inlineStr">
        <is>
          <t>PoF(20yr)=1-EXP(-rate*8760*horizon) — base &amp; H2</t>
        </is>
      </c>
    </row>
    <row r="22" ht="15" customHeight="1" s="45">
      <c r="A22" s="50" t="inlineStr">
        <is>
          <t>7. Pipe_Integrity</t>
        </is>
      </c>
      <c r="B22" s="49" t="inlineStr">
        <is>
          <t>Fracture-mechanics pipe PoF vs blend (FCGR thresholds)</t>
        </is>
      </c>
    </row>
    <row r="23" ht="15" customHeight="1" s="45">
      <c r="A23" s="50" t="inlineStr">
        <is>
          <t>8. PoF_Summary</t>
        </is>
      </c>
      <c r="B23" s="49" t="inlineStr">
        <is>
          <t>Component-level PoF20 with amber/red flags (harmonized thresholds)</t>
        </is>
      </c>
    </row>
    <row r="24" ht="15" customHeight="1" s="45">
      <c r="A24" s="50" t="inlineStr">
        <is>
          <t>9. Inspection_Maint</t>
        </is>
      </c>
      <c r="B24" s="49" t="inlineStr">
        <is>
          <t>I&amp;M plan; common-pipe unit costs from Global_Assumptions</t>
        </is>
      </c>
    </row>
    <row r="25" ht="15" customHeight="1" s="45">
      <c r="A25" s="50" t="inlineStr">
        <is>
          <t>10. Blend_Properties</t>
        </is>
      </c>
      <c r="B25" s="49" t="inlineStr">
        <is>
          <t>Volume→energy fraction, flow factor, H2 demand (kg/yr) by blend</t>
        </is>
      </c>
    </row>
    <row r="26" ht="15" customHeight="1" s="45">
      <c r="A26" s="50" t="inlineStr">
        <is>
          <t>11. TEA_CAPEX</t>
        </is>
      </c>
      <c r="B26" s="49" t="inlineStr">
        <is>
          <t>Retrofit/new pipeline, injection/compression, storage, CCS/NCD</t>
        </is>
      </c>
    </row>
    <row r="27" ht="15" customHeight="1" s="45">
      <c r="A27" s="50" t="inlineStr">
        <is>
          <t>12. TEA_Hydraulics</t>
        </is>
      </c>
      <c r="B27" s="49" t="inlineStr">
        <is>
          <t>Pressure drop &amp; compressor count, near vs 100-mi injection</t>
        </is>
      </c>
    </row>
    <row r="28" ht="15" customHeight="1" s="45">
      <c r="A28" s="50" t="inlineStr">
        <is>
          <t>13. TEA_OPEX_Perf</t>
        </is>
      </c>
      <c r="B28" s="49" t="inlineStr">
        <is>
          <t>Energy, O&amp;M, inspection, losses + performance metrics</t>
        </is>
      </c>
    </row>
    <row r="29" ht="15" customHeight="1" s="45">
      <c r="A29" s="50" t="inlineStr">
        <is>
          <t>14. TEA_Network</t>
        </is>
      </c>
      <c r="B29" s="49" t="inlineStr">
        <is>
          <t>Production / transmission / delivery cost allocation</t>
        </is>
      </c>
    </row>
    <row r="30" ht="15" customHeight="1" s="45">
      <c r="A30" s="50" t="inlineStr">
        <is>
          <t>15. TEA_Levelized</t>
        </is>
      </c>
      <c r="B30" s="49" t="inlineStr">
        <is>
          <t>LCOH, $/tCO2e avoided, levelized carbon-capture cost</t>
        </is>
      </c>
    </row>
    <row r="31" ht="15" customHeight="1" s="45">
      <c r="A31" s="50" t="inlineStr">
        <is>
          <t>16. TEA_Pathways</t>
        </is>
      </c>
      <c r="B31" s="49" t="inlineStr">
        <is>
          <t>Retrofit vs new; blend vs full; direct vs carrier (high-level)</t>
        </is>
      </c>
    </row>
    <row r="32" ht="15" customHeight="1" s="45">
      <c r="A32" s="50" t="inlineStr">
        <is>
          <t>17. Scenario_Results</t>
        </is>
      </c>
      <c r="B32" s="49" t="inlineStr">
        <is>
          <t>Unified blend × distance × pathway sweep (formula-driven)</t>
        </is>
      </c>
    </row>
    <row r="33" ht="15" customHeight="1" s="45">
      <c r="A33" s="50" t="inlineStr">
        <is>
          <t>18. Lifecycle_50yr</t>
        </is>
      </c>
      <c r="B33" s="49" t="inlineStr">
        <is>
          <t>50-yr reliability lifecycle: PoF/TTF, inspection &amp; maintenance downtime → derived availability</t>
        </is>
      </c>
    </row>
    <row r="34">
      <c r="A34" s="50" t="inlineStr">
        <is>
          <t>19. Fuel_Cost</t>
        </is>
      </c>
      <c r="B34" s="49" t="inlineStr">
        <is>
          <t>NG + H2 blended fuel cost by blend (combustion end uses; 0 for transmission)</t>
        </is>
      </c>
    </row>
    <row r="35" ht="15" customHeight="1" s="45">
      <c r="A35" s="50" t="inlineStr">
        <is>
          <t>20. Cashflow_50yr</t>
        </is>
      </c>
      <c r="B35" s="49" t="inlineStr">
        <is>
          <t>Detailed 50-year cashflow for a selectable scenario (blend/injection/pathway) + NPV</t>
        </is>
      </c>
    </row>
    <row r="36" ht="15" customHeight="1" s="45">
      <c r="A36" s="50" t="inlineStr">
        <is>
          <t>21. NPV_Comparison</t>
        </is>
      </c>
      <c r="B36" s="49" t="inlineStr">
        <is>
          <t>NPV across blend, pressure, pathway, and injection point</t>
        </is>
      </c>
    </row>
    <row r="37" ht="15" customHeight="1" s="45">
      <c r="A37" s="50" t="inlineStr">
        <is>
          <t>22. Use_Case_Summary</t>
        </is>
      </c>
      <c r="B37" s="49" t="inlineStr">
        <is>
          <t>Compiled cost breakdown, drivers, feasibility thresholds</t>
        </is>
      </c>
    </row>
    <row r="39">
      <c r="A39" s="50" t="inlineStr">
        <is>
          <t>Colour key</t>
        </is>
      </c>
    </row>
    <row r="40">
      <c r="A40" s="52" t="inlineStr">
        <is>
          <t>Blue = hardcoded input</t>
        </is>
      </c>
      <c r="B40" s="51" t="inlineStr">
        <is>
          <t>Black = formula/derived</t>
        </is>
      </c>
    </row>
    <row r="41">
      <c r="A41" s="53" t="inlineStr">
        <is>
          <t>Green = cross-sheet reference</t>
        </is>
      </c>
    </row>
  </sheetData>
  <mergeCells count="2">
    <mergeCell ref="A2:B2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8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44" min="1" max="1"/>
    <col width="14" customWidth="1" style="44" min="2" max="2"/>
    <col width="16" customWidth="1" style="44" min="3" max="3"/>
    <col width="24" customWidth="1" style="44" min="4" max="4"/>
  </cols>
  <sheetData>
    <row r="1" ht="15" customHeight="1" s="45">
      <c r="A1" s="54" t="inlineStr">
        <is>
          <t>GLOBAL ASSUMPTIONS — shared across all harmonized case studies</t>
        </is>
      </c>
    </row>
    <row r="2" ht="15" customHeight="1" s="45">
      <c r="A2" s="47" t="inlineStr">
        <is>
          <t>IDENTICAL in every workbook. Blue = master input. Change here to propagate everywhere.</t>
        </is>
      </c>
    </row>
    <row r="3" ht="15" customHeight="1" s="45">
      <c r="A3" s="55" t="inlineStr">
        <is>
          <t>Parameter</t>
        </is>
      </c>
      <c r="B3" s="55" t="inlineStr">
        <is>
          <t>Value</t>
        </is>
      </c>
      <c r="C3" s="55" t="inlineStr">
        <is>
          <t>Unit</t>
        </is>
      </c>
      <c r="D3" s="55" t="inlineStr">
        <is>
          <t>Source / note</t>
        </is>
      </c>
    </row>
    <row r="4" ht="15" customHeight="1" s="45">
      <c r="A4" s="56" t="inlineStr">
        <is>
          <t>A. ECONOMIC BASIS</t>
        </is>
      </c>
    </row>
    <row r="5" ht="15" customHeight="1" s="45">
      <c r="A5" s="51" t="inlineStr">
        <is>
          <t>Capital cost recovery factor (CCRF)</t>
        </is>
      </c>
      <c r="B5" s="57" t="n">
        <v>0.14</v>
      </c>
      <c r="C5" s="58" t="inlineStr">
        <is>
          <t>fraction</t>
        </is>
      </c>
      <c r="D5" s="58" t="inlineStr">
        <is>
          <t>[P1][P2] DOE H2A</t>
        </is>
      </c>
    </row>
    <row r="6" ht="15" customHeight="1" s="45">
      <c r="A6" s="51" t="inlineStr">
        <is>
          <t>CCRF (on-site electrolysis)</t>
        </is>
      </c>
      <c r="B6" s="57" t="n">
        <v>0.15</v>
      </c>
      <c r="C6" s="58" t="inlineStr">
        <is>
          <t>fraction</t>
        </is>
      </c>
      <c r="D6" s="58" t="inlineStr">
        <is>
          <t>[P2]</t>
        </is>
      </c>
    </row>
    <row r="7" ht="15" customHeight="1" s="45">
      <c r="A7" s="51" t="inlineStr">
        <is>
          <t>Utility discount rate</t>
        </is>
      </c>
      <c r="B7" s="57" t="n">
        <v>0.08</v>
      </c>
      <c r="C7" s="58" t="inlineStr">
        <is>
          <t>fraction</t>
        </is>
      </c>
      <c r="D7" s="58" t="inlineStr">
        <is>
          <t>[P3]</t>
        </is>
      </c>
    </row>
    <row r="8" ht="15" customHeight="1" s="45">
      <c r="A8" s="51" t="inlineStr">
        <is>
          <t>Hurdle rate (blended)</t>
        </is>
      </c>
      <c r="B8" s="57" t="n">
        <v>0.0575</v>
      </c>
      <c r="C8" s="58" t="inlineStr">
        <is>
          <t>fraction</t>
        </is>
      </c>
      <c r="D8" s="58" t="inlineStr">
        <is>
          <t>[P3]</t>
        </is>
      </c>
    </row>
    <row r="9" ht="15" customHeight="1" s="45">
      <c r="A9" s="51" t="inlineStr">
        <is>
          <t>Inflation de-escalator</t>
        </is>
      </c>
      <c r="B9" s="57" t="n">
        <v>0.025</v>
      </c>
      <c r="C9" s="58" t="inlineStr">
        <is>
          <t>fraction</t>
        </is>
      </c>
      <c r="D9" s="58" t="inlineStr">
        <is>
          <t>[P2]</t>
        </is>
      </c>
    </row>
    <row r="10" ht="15" customHeight="1" s="45">
      <c r="A10" s="51" t="inlineStr">
        <is>
          <t>Project economic life / lifecycle horizon</t>
        </is>
      </c>
      <c r="B10" s="59" t="n">
        <v>50</v>
      </c>
      <c r="C10" s="58" t="inlineStr">
        <is>
          <t>years</t>
        </is>
      </c>
      <c r="D10" s="58" t="inlineStr">
        <is>
          <t>50-yr lifecycle</t>
        </is>
      </c>
    </row>
    <row r="11" ht="15" customHeight="1" s="45">
      <c r="A11" s="51" t="inlineStr">
        <is>
          <t>System availability (derived prior; see Lifecycle_50yr)</t>
        </is>
      </c>
      <c r="B11" s="60">
        <f>Lifecycle_50yr!$B$15</f>
        <v/>
      </c>
      <c r="C11" s="58" t="inlineStr">
        <is>
          <t>fraction</t>
        </is>
      </c>
      <c r="D11" s="58" t="inlineStr">
        <is>
          <t>Derived 50-yr mean from Lifecycle_50yr (single availability series). [corrected]</t>
        </is>
      </c>
    </row>
    <row r="12" ht="15" customHeight="1" s="45">
      <c r="A12" s="56" t="inlineStr">
        <is>
          <t>B. PRICES &amp; CARBON VALUE</t>
        </is>
      </c>
    </row>
    <row r="13" ht="15" customHeight="1" s="45">
      <c r="A13" s="51" t="inlineStr">
        <is>
          <t>RH2 commodity cost (base)</t>
        </is>
      </c>
      <c r="B13" s="61" t="n">
        <v>2</v>
      </c>
      <c r="C13" s="58" t="inlineStr">
        <is>
          <t>$/kg</t>
        </is>
      </c>
      <c r="D13" s="58" t="inlineStr">
        <is>
          <t>[P1][P2]</t>
        </is>
      </c>
    </row>
    <row r="14" ht="15" customHeight="1" s="45">
      <c r="A14" s="51" t="inlineStr">
        <is>
          <t>RH2 commodity (low)</t>
        </is>
      </c>
      <c r="B14" s="61" t="n">
        <v>1.5</v>
      </c>
      <c r="C14" s="58" t="inlineStr">
        <is>
          <t>$/kg</t>
        </is>
      </c>
      <c r="D14" s="58" t="inlineStr">
        <is>
          <t>[P1]</t>
        </is>
      </c>
    </row>
    <row r="15" ht="15" customHeight="1" s="45">
      <c r="A15" s="51" t="inlineStr">
        <is>
          <t>RH2 commodity (high)</t>
        </is>
      </c>
      <c r="B15" s="61" t="n">
        <v>3</v>
      </c>
      <c r="C15" s="58" t="inlineStr">
        <is>
          <t>$/kg</t>
        </is>
      </c>
      <c r="D15" s="58" t="inlineStr">
        <is>
          <t>[P1]</t>
        </is>
      </c>
    </row>
    <row r="16" ht="15" customHeight="1" s="45">
      <c r="A16" s="51" t="inlineStr">
        <is>
          <t>Natural gas price 2025</t>
        </is>
      </c>
      <c r="B16" s="61" t="n">
        <v>4.74</v>
      </c>
      <c r="C16" s="58" t="inlineStr">
        <is>
          <t>$/GJ (UCI $5/MMBtu)</t>
        </is>
      </c>
      <c r="D16" s="58" t="inlineStr">
        <is>
          <t>[P3]</t>
        </is>
      </c>
    </row>
    <row r="17" ht="15" customHeight="1" s="45">
      <c r="A17" s="51" t="inlineStr">
        <is>
          <t>Natural gas price 2050</t>
        </is>
      </c>
      <c r="B17" s="61" t="n">
        <v>4.39</v>
      </c>
      <c r="C17" s="58" t="inlineStr">
        <is>
          <t>$/GJ</t>
        </is>
      </c>
      <c r="D17" s="58" t="inlineStr">
        <is>
          <t>[P3]</t>
        </is>
      </c>
    </row>
    <row r="18" ht="15" customHeight="1" s="45">
      <c r="A18" s="51" t="inlineStr">
        <is>
          <t>Grid renewable electricity</t>
        </is>
      </c>
      <c r="B18" s="62" t="n">
        <v>235</v>
      </c>
      <c r="C18" s="58" t="inlineStr">
        <is>
          <t>$/MWh (UCI blended $0.235/kWh)</t>
        </is>
      </c>
      <c r="D18" s="58" t="inlineStr">
        <is>
          <t>[P2]</t>
        </is>
      </c>
    </row>
    <row r="19" ht="15" customHeight="1" s="45">
      <c r="A19" s="51" t="inlineStr">
        <is>
          <t>Electricity unit cost</t>
        </is>
      </c>
      <c r="B19" s="63">
        <f>Global_Assumptions!$B$18/1000</f>
        <v/>
      </c>
      <c r="C19" s="58" t="inlineStr">
        <is>
          <t>$/kWh</t>
        </is>
      </c>
      <c r="D19" s="58" t="inlineStr">
        <is>
          <t>from elec_mwh/1000</t>
        </is>
      </c>
    </row>
    <row r="20" ht="15" customHeight="1" s="45">
      <c r="A20" s="51" t="inlineStr">
        <is>
          <t>LCFS carbon credit</t>
        </is>
      </c>
      <c r="B20" s="64">
        <f>IF($B$83=1,$B$84,0)</f>
        <v/>
      </c>
      <c r="C20" s="58" t="inlineStr">
        <is>
          <t>$/credit</t>
        </is>
      </c>
      <c r="D20" s="58" t="inlineStr">
        <is>
          <t>Gated: 0 unless LCFS eligible=1 (then LCFS price). [corrected]</t>
        </is>
      </c>
    </row>
    <row r="21" ht="15" customHeight="1" s="45">
      <c r="A21" s="51" t="inlineStr">
        <is>
          <t>IRA 45V PTC (levelized reduction)</t>
        </is>
      </c>
      <c r="B21" s="65">
        <f>IF($B$85=1,-1.35,0)</f>
        <v/>
      </c>
      <c r="C21" s="58" t="inlineStr">
        <is>
          <t>$/kg</t>
        </is>
      </c>
      <c r="D21" s="58" t="inlineStr">
        <is>
          <t>Gated: 0 unless 45V eligible=1. [corrected]</t>
        </is>
      </c>
    </row>
    <row r="22" ht="15" customHeight="1" s="45">
      <c r="A22" s="56" t="inlineStr">
        <is>
          <t>C. PHYSICAL CONSTANTS</t>
        </is>
      </c>
    </row>
    <row r="23" ht="15" customHeight="1" s="45">
      <c r="A23" s="51" t="inlineStr">
        <is>
          <t>H2 higher heating value</t>
        </is>
      </c>
      <c r="B23" s="66" t="n">
        <v>39.4</v>
      </c>
      <c r="C23" s="58" t="inlineStr">
        <is>
          <t>kWh/kg</t>
        </is>
      </c>
      <c r="D23" s="58" t="inlineStr">
        <is>
          <t>physical</t>
        </is>
      </c>
    </row>
    <row r="24" ht="15" customHeight="1" s="45">
      <c r="A24" s="51" t="inlineStr">
        <is>
          <t>H2 lower heating value</t>
        </is>
      </c>
      <c r="B24" s="66" t="n">
        <v>33.3</v>
      </c>
      <c r="C24" s="58" t="inlineStr">
        <is>
          <t>kWh/kg</t>
        </is>
      </c>
      <c r="D24" s="58" t="inlineStr">
        <is>
          <t>physical</t>
        </is>
      </c>
    </row>
    <row r="25" ht="15" customHeight="1" s="45">
      <c r="A25" s="51" t="inlineStr">
        <is>
          <t>H2 energy content</t>
        </is>
      </c>
      <c r="B25" s="67">
        <f>B24*0.0036</f>
        <v/>
      </c>
      <c r="C25" s="58" t="inlineStr">
        <is>
          <t>GJ/kg</t>
        </is>
      </c>
      <c r="D25" s="58" t="inlineStr">
        <is>
          <t>LHV-consistent: LHV_kWh*0.0036 GJ/kg (was 0.113745, ~5.4% low). [corrected]</t>
        </is>
      </c>
    </row>
    <row r="26" ht="15" customHeight="1" s="45">
      <c r="A26" s="51" t="inlineStr">
        <is>
          <t>H2/NG volumetric energy ratio (k)</t>
        </is>
      </c>
      <c r="B26" s="57" t="n">
        <v>0.336</v>
      </c>
      <c r="C26" s="58" t="inlineStr">
        <is>
          <t>-</t>
        </is>
      </c>
      <c r="D26" s="58" t="inlineStr">
        <is>
          <t>physical</t>
        </is>
      </c>
    </row>
    <row r="27" ht="15" customHeight="1" s="45">
      <c r="A27" s="51" t="inlineStr">
        <is>
          <t>CO2 displaced per kg zero-C H2</t>
        </is>
      </c>
      <c r="B27" s="66" t="n">
        <v>7.13</v>
      </c>
      <c r="C27" s="58" t="inlineStr">
        <is>
          <t>kgCO2/kg</t>
        </is>
      </c>
      <c r="D27" s="58" t="inlineStr">
        <is>
          <t>derived</t>
        </is>
      </c>
    </row>
    <row r="28" ht="15" customHeight="1" s="45">
      <c r="A28" s="51" t="inlineStr">
        <is>
          <t>H2 GWP100 (leakage CO2e)</t>
        </is>
      </c>
      <c r="B28" s="66" t="n">
        <v>11.6</v>
      </c>
      <c r="C28" s="58" t="inlineStr">
        <is>
          <t>-</t>
        </is>
      </c>
      <c r="D28" s="58" t="inlineStr">
        <is>
          <t>[R7] Sand 2023</t>
        </is>
      </c>
    </row>
    <row r="29" ht="15" customHeight="1" s="45">
      <c r="A29" s="51" t="inlineStr">
        <is>
          <t>H2 leakage fraction (base)</t>
        </is>
      </c>
      <c r="B29" s="57" t="n">
        <v>0.005</v>
      </c>
      <c r="C29" s="58" t="inlineStr">
        <is>
          <t>fraction</t>
        </is>
      </c>
      <c r="D29" s="58" t="inlineStr">
        <is>
          <t>[R7][U2]</t>
        </is>
      </c>
    </row>
    <row r="30" ht="15" customHeight="1" s="45">
      <c r="A30" s="56" t="inlineStr">
        <is>
          <t>D. CCS &amp; NOx CAPTURE/DESTRUCTION</t>
        </is>
      </c>
    </row>
    <row r="31" ht="15" customHeight="1" s="45">
      <c r="A31" s="51" t="inlineStr">
        <is>
          <t>CO2 capture fraction</t>
        </is>
      </c>
      <c r="B31" s="68">
        <f>IF($B$82=1,0.9,0)</f>
        <v/>
      </c>
      <c r="C31" s="58" t="inlineStr">
        <is>
          <t>fraction</t>
        </is>
      </c>
      <c r="D31" s="58" t="inlineStr">
        <is>
          <t>Gated: capture only when CCS enabled=1 -&gt; no scenario charged CCS in base. [corrected]</t>
        </is>
      </c>
    </row>
    <row r="32" ht="15" customHeight="1" s="45">
      <c r="A32" s="51" t="inlineStr">
        <is>
          <t>CCS unit cost - industrial</t>
        </is>
      </c>
      <c r="B32" s="62" t="n">
        <v>60</v>
      </c>
      <c r="C32" s="58" t="inlineStr">
        <is>
          <t>$/tCO2</t>
        </is>
      </c>
      <c r="D32" s="58" t="inlineStr">
        <is>
          <t>[P3] Tbl 3</t>
        </is>
      </c>
    </row>
    <row r="33" ht="15" customHeight="1" s="45">
      <c r="A33" s="51" t="inlineStr">
        <is>
          <t>CCS unit cost - power gen</t>
        </is>
      </c>
      <c r="B33" s="62" t="n">
        <v>90</v>
      </c>
      <c r="C33" s="58" t="inlineStr">
        <is>
          <t>$/tCO2</t>
        </is>
      </c>
      <c r="D33" s="58" t="inlineStr">
        <is>
          <t>[P3] Tbl 3</t>
        </is>
      </c>
    </row>
    <row r="34" ht="15" customHeight="1" s="45">
      <c r="A34" s="51" t="inlineStr">
        <is>
          <t>CCS unit cost - DAC</t>
        </is>
      </c>
      <c r="B34" s="62" t="n">
        <v>225</v>
      </c>
      <c r="C34" s="58" t="inlineStr">
        <is>
          <t>$/tCO2</t>
        </is>
      </c>
      <c r="D34" s="58" t="inlineStr">
        <is>
          <t>[P3] Tbl 3</t>
        </is>
      </c>
    </row>
    <row r="35" ht="15" customHeight="1" s="45">
      <c r="A35" s="51" t="inlineStr">
        <is>
          <t>NCD (SCR) base cost @0% blend</t>
        </is>
      </c>
      <c r="B35" s="62" t="n">
        <v>8</v>
      </c>
      <c r="C35" s="58" t="inlineStr">
        <is>
          <t>$/tCO2e</t>
        </is>
      </c>
      <c r="D35" s="58" t="inlineStr">
        <is>
          <t>[U2] placeholder</t>
        </is>
      </c>
    </row>
    <row r="36" ht="15" customHeight="1" s="45">
      <c r="A36" s="51" t="inlineStr">
        <is>
          <t>NCD additional per unit blend</t>
        </is>
      </c>
      <c r="B36" s="62" t="n">
        <v>6</v>
      </c>
      <c r="C36" s="58" t="inlineStr">
        <is>
          <t>$/tCO2e</t>
        </is>
      </c>
      <c r="D36" s="58" t="inlineStr">
        <is>
          <t>[U2] placeholder</t>
        </is>
      </c>
    </row>
    <row r="37" ht="15" customHeight="1" s="45">
      <c r="A37" s="56" t="inlineStr">
        <is>
          <t>E. COMPRESSION &amp; HYDRAULICS</t>
        </is>
      </c>
    </row>
    <row r="38" ht="15" customHeight="1" s="45">
      <c r="A38" s="51" t="inlineStr">
        <is>
          <t>Compression energy</t>
        </is>
      </c>
      <c r="B38" s="66" t="n">
        <v>3.1</v>
      </c>
      <c r="C38" s="58" t="inlineStr">
        <is>
          <t>kWh/kg</t>
        </is>
      </c>
      <c r="D38" s="58" t="inlineStr">
        <is>
          <t>[R4] DOE avg</t>
        </is>
      </c>
    </row>
    <row r="39" ht="15" customHeight="1" s="45">
      <c r="A39" s="51" t="inlineStr">
        <is>
          <t>Compressor CAPEX</t>
        </is>
      </c>
      <c r="B39" s="66" t="n">
        <v>0.75</v>
      </c>
      <c r="C39" s="58" t="inlineStr">
        <is>
          <t>$M/MW</t>
        </is>
      </c>
      <c r="D39" s="58" t="inlineStr">
        <is>
          <t>MDPI 2026</t>
        </is>
      </c>
    </row>
    <row r="40" ht="15" customHeight="1" s="45">
      <c r="A40" s="51" t="inlineStr">
        <is>
          <t>Compressor efficiency</t>
        </is>
      </c>
      <c r="B40" s="66" t="n">
        <v>0.75</v>
      </c>
      <c r="C40" s="58" t="inlineStr">
        <is>
          <t>fraction</t>
        </is>
      </c>
      <c r="D40" s="58" t="inlineStr">
        <is>
          <t>[R4]</t>
        </is>
      </c>
    </row>
    <row r="41" ht="15" customHeight="1" s="45">
      <c r="A41" s="51" t="inlineStr">
        <is>
          <t>Compressor maintenance</t>
        </is>
      </c>
      <c r="B41" s="57" t="n">
        <v>0.03</v>
      </c>
      <c r="C41" s="58" t="inlineStr">
        <is>
          <t>frac CAPEX/yr</t>
        </is>
      </c>
      <c r="D41" s="58" t="inlineStr">
        <is>
          <t>[R4] DOE</t>
        </is>
      </c>
    </row>
    <row r="42" ht="15" customHeight="1" s="45">
      <c r="A42" s="51" t="inlineStr">
        <is>
          <t>Compressor station spacing</t>
        </is>
      </c>
      <c r="B42" s="59" t="n">
        <v>60</v>
      </c>
      <c r="C42" s="58" t="inlineStr">
        <is>
          <t>miles</t>
        </is>
      </c>
      <c r="D42" s="58" t="inlineStr">
        <is>
          <t>[R3] HyBlend</t>
        </is>
      </c>
    </row>
    <row r="43" ht="15" customHeight="1" s="45">
      <c r="A43" s="56" t="inlineStr">
        <is>
          <t>F. CAPEX UNIT COSTS</t>
        </is>
      </c>
    </row>
    <row r="44" ht="15" customHeight="1" s="45">
      <c r="A44" s="51" t="inlineStr">
        <is>
          <t>New purpose-built pipeline</t>
        </is>
      </c>
      <c r="B44" s="66" t="n">
        <v>4</v>
      </c>
      <c r="C44" s="58" t="inlineStr">
        <is>
          <t>$M/mile</t>
        </is>
      </c>
      <c r="D44" s="58" t="inlineStr">
        <is>
          <t>[P3]</t>
        </is>
      </c>
    </row>
    <row r="45" ht="15" customHeight="1" s="45">
      <c r="A45" s="51" t="inlineStr">
        <is>
          <t>Retrofit/repurpose factor</t>
        </is>
      </c>
      <c r="B45" s="66" t="n">
        <v>0.2</v>
      </c>
      <c r="C45" s="58" t="inlineStr">
        <is>
          <t>fraction</t>
        </is>
      </c>
      <c r="D45" s="58" t="inlineStr">
        <is>
          <t>[P3][R5] EHB</t>
        </is>
      </c>
    </row>
    <row r="46" ht="15" customHeight="1" s="45">
      <c r="A46" s="51" t="inlineStr">
        <is>
          <t>New H2 pipe premium vs NG</t>
        </is>
      </c>
      <c r="B46" s="66" t="n">
        <v>1.3</v>
      </c>
      <c r="C46" s="58" t="inlineStr">
        <is>
          <t>multiplier</t>
        </is>
      </c>
      <c r="D46" s="58" t="inlineStr">
        <is>
          <t>[R5]</t>
        </is>
      </c>
    </row>
    <row r="47" ht="15" customHeight="1" s="45">
      <c r="A47" s="51" t="inlineStr">
        <is>
          <t>Injection+metering+control skid</t>
        </is>
      </c>
      <c r="B47" s="66" t="n">
        <v>2</v>
      </c>
      <c r="C47" s="58" t="inlineStr">
        <is>
          <t>$M/point</t>
        </is>
      </c>
      <c r="D47" s="58" t="inlineStr">
        <is>
          <t>[P2]</t>
        </is>
      </c>
    </row>
    <row r="48" ht="15" customHeight="1" s="45">
      <c r="A48" s="51" t="inlineStr">
        <is>
          <t>On-site storage CAPEX</t>
        </is>
      </c>
      <c r="B48" s="62" t="n">
        <v>265</v>
      </c>
      <c r="C48" s="58" t="inlineStr">
        <is>
          <t>$/kg</t>
        </is>
      </c>
      <c r="D48" s="58" t="inlineStr">
        <is>
          <t>[P2] Reed 2024</t>
        </is>
      </c>
    </row>
    <row r="49" ht="15" customHeight="1" s="45">
      <c r="A49" s="51" t="inlineStr">
        <is>
          <t>Storage buffer duration</t>
        </is>
      </c>
      <c r="B49" s="66" t="n">
        <v>1</v>
      </c>
      <c r="C49" s="58" t="inlineStr">
        <is>
          <t>days</t>
        </is>
      </c>
      <c r="D49" s="58" t="inlineStr">
        <is>
          <t>[U2]</t>
        </is>
      </c>
    </row>
    <row r="50" ht="15" customHeight="1" s="45">
      <c r="A50" s="51" t="inlineStr">
        <is>
          <t>Pipeline O&amp;M</t>
        </is>
      </c>
      <c r="B50" s="57" t="n">
        <v>0.012</v>
      </c>
      <c r="C50" s="58" t="inlineStr">
        <is>
          <t>frac CAPEX/yr</t>
        </is>
      </c>
      <c r="D50" s="58" t="inlineStr">
        <is>
          <t>[R5] EHB</t>
        </is>
      </c>
    </row>
    <row r="51" ht="15" customHeight="1" s="45">
      <c r="A51" s="56" t="inlineStr">
        <is>
          <t>G. RELIABILITY / PoF THRESHOLDS</t>
        </is>
      </c>
    </row>
    <row r="52" ht="15" customHeight="1" s="45">
      <c r="A52" s="51" t="inlineStr">
        <is>
          <t>PoF assessment horizon</t>
        </is>
      </c>
      <c r="B52" s="59" t="n">
        <v>20</v>
      </c>
      <c r="C52" s="58" t="inlineStr">
        <is>
          <t>years</t>
        </is>
      </c>
      <c r="D52" s="58" t="inlineStr">
        <is>
          <t>harmonized</t>
        </is>
      </c>
    </row>
    <row r="53" ht="15" customHeight="1" s="45">
      <c r="A53" s="51" t="inlineStr">
        <is>
          <t>Pipe base annual leak rate</t>
        </is>
      </c>
      <c r="B53" s="69" t="n">
        <v>1e-06</v>
      </c>
      <c r="C53" s="58" t="inlineStr">
        <is>
          <t>/hr</t>
        </is>
      </c>
      <c r="D53" s="58" t="inlineStr">
        <is>
          <t>screening anchor</t>
        </is>
      </c>
    </row>
    <row r="54" ht="15" customHeight="1" s="45">
      <c r="A54" s="51" t="inlineStr">
        <is>
          <t>Pipe base annual burst rate</t>
        </is>
      </c>
      <c r="B54" s="69" t="n">
        <v>5e-08</v>
      </c>
      <c r="C54" s="58" t="inlineStr">
        <is>
          <t>/hr</t>
        </is>
      </c>
      <c r="D54" s="58" t="inlineStr">
        <is>
          <t>screening anchor</t>
        </is>
      </c>
    </row>
    <row r="55" ht="15" customHeight="1" s="45">
      <c r="A55" s="51" t="inlineStr">
        <is>
          <t>PoF amber threshold</t>
        </is>
      </c>
      <c r="B55" s="66" t="n">
        <v>0.3</v>
      </c>
      <c r="C55" s="58" t="inlineStr">
        <is>
          <t>fraction</t>
        </is>
      </c>
      <c r="D55" s="58" t="inlineStr">
        <is>
          <t>harmonized flag</t>
        </is>
      </c>
    </row>
    <row r="56" ht="15" customHeight="1" s="45">
      <c r="A56" s="51" t="inlineStr">
        <is>
          <t>PoF red threshold</t>
        </is>
      </c>
      <c r="B56" s="66" t="n">
        <v>0.6</v>
      </c>
      <c r="C56" s="58" t="inlineStr">
        <is>
          <t>fraction</t>
        </is>
      </c>
      <c r="D56" s="58" t="inlineStr">
        <is>
          <t>harmonized flag</t>
        </is>
      </c>
    </row>
    <row r="57" ht="15" customHeight="1" s="45">
      <c r="A57" s="56" t="inlineStr">
        <is>
          <t>H. INSPECTION &amp; MAINTENANCE UNIT COSTS (common pipe)</t>
        </is>
      </c>
    </row>
    <row r="58" ht="15" customHeight="1" s="45">
      <c r="A58" s="51" t="inlineStr">
        <is>
          <t>Inspection - normal pipeline</t>
        </is>
      </c>
      <c r="B58" s="62" t="n">
        <v>52361</v>
      </c>
      <c r="C58" s="58" t="inlineStr">
        <is>
          <t>$/mile/yr</t>
        </is>
      </c>
      <c r="D58" s="58" t="inlineStr">
        <is>
          <t>blended ILI/HT/DA</t>
        </is>
      </c>
    </row>
    <row r="59" ht="15" customHeight="1" s="45">
      <c r="A59" s="51" t="inlineStr">
        <is>
          <t>Inspection - purpose-built</t>
        </is>
      </c>
      <c r="B59" s="62" t="n">
        <v>26180</v>
      </c>
      <c r="C59" s="58" t="inlineStr">
        <is>
          <t>$/mile/yr</t>
        </is>
      </c>
      <c r="D59" s="58" t="inlineStr">
        <is>
          <t>less frequent</t>
        </is>
      </c>
    </row>
    <row r="60" ht="15" customHeight="1" s="45">
      <c r="A60" s="51" t="inlineStr">
        <is>
          <t>ILI frequency</t>
        </is>
      </c>
      <c r="B60" s="59" t="n">
        <v>7</v>
      </c>
      <c r="C60" s="58" t="inlineStr">
        <is>
          <t>years</t>
        </is>
      </c>
      <c r="D60" s="58" t="inlineStr">
        <is>
          <t>PHMSA</t>
        </is>
      </c>
    </row>
    <row r="61" ht="15" customHeight="1" s="45">
      <c r="A61" s="51" t="inlineStr">
        <is>
          <t>ILI cost</t>
        </is>
      </c>
      <c r="B61" s="62" t="n">
        <v>33450</v>
      </c>
      <c r="C61" s="58" t="inlineStr">
        <is>
          <t>$/mile</t>
        </is>
      </c>
      <c r="D61" s="58" t="inlineStr">
        <is>
          <t>NPV 5%</t>
        </is>
      </c>
    </row>
    <row r="62" ht="15" customHeight="1" s="45">
      <c r="A62" s="56" t="inlineStr">
        <is>
          <t>I. LIFECYCLE, FUEL &amp; CASHFLOW (50-year extension)</t>
        </is>
      </c>
    </row>
    <row r="63" ht="15" customHeight="1" s="45">
      <c r="A63" s="51" t="inlineStr">
        <is>
          <t>Lifecycle / cashflow horizon</t>
        </is>
      </c>
      <c r="B63" s="59" t="n">
        <v>50</v>
      </c>
      <c r="C63" s="58" t="inlineStr">
        <is>
          <t>years</t>
        </is>
      </c>
      <c r="D63" s="58" t="inlineStr">
        <is>
          <t>50-yr extension</t>
        </is>
      </c>
    </row>
    <row r="64" ht="15" customHeight="1" s="45">
      <c r="A64" s="51" t="inlineStr">
        <is>
          <t>Combustion-efficiency gain per 100% blend (Thermoflex)</t>
        </is>
      </c>
      <c r="B64" s="57" t="n">
        <v>0.01</v>
      </c>
      <c r="C64" s="58" t="inlineStr">
        <is>
          <t>fraction (+=gain; Thermoflex)</t>
        </is>
      </c>
      <c r="D64" s="58" t="inlineStr">
        <is>
          <t>screening [R13]</t>
        </is>
      </c>
    </row>
    <row r="65" ht="15" customHeight="1" s="45">
      <c r="A65" s="51" t="inlineStr">
        <is>
          <t>Storage O&amp;M (annual % of CAPEX)</t>
        </is>
      </c>
      <c r="B65" s="57" t="n">
        <v>0.02</v>
      </c>
      <c r="C65" s="58" t="inlineStr">
        <is>
          <t>frac CAPEX/yr</t>
        </is>
      </c>
      <c r="D65" s="58" t="inlineStr">
        <is>
          <t>[P2]</t>
        </is>
      </c>
    </row>
    <row r="66" ht="15" customHeight="1" s="45">
      <c r="A66" s="51" t="inlineStr">
        <is>
          <t>H2 production value (generation revenue)</t>
        </is>
      </c>
      <c r="B66" s="65">
        <f>IF($B$87=1,4,0)</f>
        <v/>
      </c>
      <c r="C66" s="58" t="inlineStr">
        <is>
          <t>$/kg</t>
        </is>
      </c>
      <c r="D66" s="58" t="inlineStr">
        <is>
          <t>Gated: 0 unless offtake revenue enabled=1 (avoids double counting). [corrected]</t>
        </is>
      </c>
    </row>
    <row r="67" ht="15" customHeight="1" s="45">
      <c r="A67" s="51" t="inlineStr">
        <is>
          <t>Delivered NG retail tariff (transport revenue)</t>
        </is>
      </c>
      <c r="B67" s="61" t="n">
        <v>8</v>
      </c>
      <c r="C67" s="58" t="inlineStr">
        <is>
          <t>$/GJ</t>
        </is>
      </c>
      <c r="D67" s="58" t="inlineStr">
        <is>
          <t>[P3] retail</t>
        </is>
      </c>
    </row>
    <row r="68" ht="15" customHeight="1" s="45">
      <c r="A68" s="51" t="inlineStr">
        <is>
          <t>IRA 45V credit magnitude (revenue)</t>
        </is>
      </c>
      <c r="B68" s="65">
        <f>IF($B$85=1,1.35,0)</f>
        <v/>
      </c>
      <c r="C68" s="58" t="inlineStr">
        <is>
          <t>$/kg</t>
        </is>
      </c>
      <c r="D68" s="58" t="inlineStr">
        <is>
          <t>Gated: 0 unless 45V eligible=1; capped at 45V duration years in cashflow. [corrected]</t>
        </is>
      </c>
    </row>
    <row r="70" ht="15" customHeight="1" s="45">
      <c r="A70" s="56" t="inlineStr">
        <is>
          <t>FCGR multiplier by blend (pipe PoF threshold)</t>
        </is>
      </c>
    </row>
    <row r="71" ht="15" customHeight="1" s="45">
      <c r="A71" s="55" t="inlineStr">
        <is>
          <t>Blend %</t>
        </is>
      </c>
      <c r="B71" s="55" t="inlineStr">
        <is>
          <t>FCGR mult</t>
        </is>
      </c>
      <c r="C71" s="55" t="n"/>
      <c r="D71" s="55" t="n"/>
    </row>
    <row r="72" ht="15" customHeight="1" s="45">
      <c r="A72" s="52" t="n">
        <v>0</v>
      </c>
      <c r="B72" s="52" t="n">
        <v>1</v>
      </c>
    </row>
    <row r="73" ht="15" customHeight="1" s="45">
      <c r="A73" s="52" t="n">
        <v>5</v>
      </c>
      <c r="B73" s="52" t="n">
        <v>6</v>
      </c>
    </row>
    <row r="74" ht="15" customHeight="1" s="45">
      <c r="A74" s="52" t="n">
        <v>10</v>
      </c>
      <c r="B74" s="52" t="n">
        <v>8</v>
      </c>
    </row>
    <row r="75" ht="15" customHeight="1" s="45">
      <c r="A75" s="52" t="n">
        <v>20</v>
      </c>
      <c r="B75" s="52" t="n">
        <v>10</v>
      </c>
    </row>
    <row r="76" ht="15" customHeight="1" s="45">
      <c r="A76" s="52" t="n">
        <v>30</v>
      </c>
      <c r="B76" s="52" t="n">
        <v>10</v>
      </c>
    </row>
    <row r="77" ht="15" customHeight="1" s="45">
      <c r="A77" s="52" t="n">
        <v>50</v>
      </c>
      <c r="B77" s="52" t="n">
        <v>10</v>
      </c>
    </row>
    <row r="78" ht="15" customHeight="1" s="45">
      <c r="A78" s="52" t="n">
        <v>75</v>
      </c>
      <c r="B78" s="52" t="n">
        <v>10</v>
      </c>
    </row>
    <row r="79" ht="15" customHeight="1" s="45">
      <c r="A79" s="52" t="n">
        <v>100</v>
      </c>
      <c r="B79" s="52" t="n">
        <v>10</v>
      </c>
    </row>
    <row r="81">
      <c r="A81" s="70" t="inlineStr">
        <is>
          <t>J. SCENARIO TOGGLES &amp; POLICY ELIGIBILITY (review corrections)</t>
        </is>
      </c>
      <c r="B81" s="71" t="n"/>
      <c r="C81" s="71" t="n"/>
      <c r="D81" s="71" t="n"/>
    </row>
    <row r="82">
      <c r="A82" s="72" t="inlineStr">
        <is>
          <t>CCS enabled (1=on, 0=off)</t>
        </is>
      </c>
      <c r="B82" s="73" t="n">
        <v>0</v>
      </c>
      <c r="C82" s="72" t="inlineStr">
        <is>
          <t>switch</t>
        </is>
      </c>
      <c r="D82" s="72" t="inlineStr">
        <is>
          <t>[review scenario lever]</t>
        </is>
      </c>
    </row>
    <row r="83">
      <c r="A83" s="72" t="inlineStr">
        <is>
          <t>LCFS eligible (1=yes, 0=no)</t>
        </is>
      </c>
      <c r="B83" s="73" t="n">
        <v>0</v>
      </c>
      <c r="C83" s="72" t="inlineStr">
        <is>
          <t>switch</t>
        </is>
      </c>
      <c r="D83" s="72" t="inlineStr">
        <is>
          <t>[review scenario lever]</t>
        </is>
      </c>
    </row>
    <row r="84">
      <c r="A84" s="72" t="inlineStr">
        <is>
          <t>LCFS price if eligible</t>
        </is>
      </c>
      <c r="B84" s="73" t="n">
        <v>66</v>
      </c>
      <c r="C84" s="72" t="inlineStr">
        <is>
          <t>$/tCO2e</t>
        </is>
      </c>
      <c r="D84" s="72" t="inlineStr">
        <is>
          <t>[review scenario lever]</t>
        </is>
      </c>
    </row>
    <row r="85">
      <c r="A85" s="72" t="inlineStr">
        <is>
          <t>IRA 45V eligible (1=yes, 0=no)</t>
        </is>
      </c>
      <c r="B85" s="73" t="n">
        <v>0</v>
      </c>
      <c r="C85" s="72" t="inlineStr">
        <is>
          <t>switch</t>
        </is>
      </c>
      <c r="D85" s="72" t="inlineStr">
        <is>
          <t>[review scenario lever]</t>
        </is>
      </c>
    </row>
    <row r="86">
      <c r="A86" s="72" t="inlineStr">
        <is>
          <t>IRA 45V credit duration</t>
        </is>
      </c>
      <c r="B86" s="73" t="n">
        <v>10</v>
      </c>
      <c r="C86" s="72" t="inlineStr">
        <is>
          <t>years</t>
        </is>
      </c>
      <c r="D86" s="72" t="inlineStr">
        <is>
          <t>[review scenario lever]</t>
        </is>
      </c>
    </row>
    <row r="87">
      <c r="A87" s="72" t="inlineStr">
        <is>
          <t>H2 offtake/production revenue enabled (1/0)</t>
        </is>
      </c>
      <c r="B87" s="73" t="n">
        <v>0</v>
      </c>
      <c r="C87" s="72" t="inlineStr">
        <is>
          <t>switch</t>
        </is>
      </c>
      <c r="D87" s="72" t="inlineStr">
        <is>
          <t>[review scenario lever]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44" min="1" max="1"/>
    <col width="10" customWidth="1" style="44" min="2" max="2"/>
    <col width="22" customWidth="1" style="44" min="3" max="3"/>
    <col width="14" customWidth="1" style="44" min="4" max="4"/>
    <col width="30" customWidth="1" style="44" min="5" max="5"/>
  </cols>
  <sheetData>
    <row r="1" ht="15.75" customHeight="1" s="45">
      <c r="A1" s="46" t="inlineStr">
        <is>
          <t>COMPONENT REGISTER — UCI Microturbine</t>
        </is>
      </c>
    </row>
    <row r="2" ht="15" customHeight="1" s="45">
      <c r="A2" s="47" t="inlineStr">
        <is>
          <t>System-specific components. Reliability and I&amp;M layers act on these.</t>
        </is>
      </c>
    </row>
    <row r="3" ht="15" customHeight="1" s="45">
      <c r="A3" s="55" t="inlineStr">
        <is>
          <t>Component</t>
        </is>
      </c>
      <c r="B3" s="55" t="inlineStr">
        <is>
          <t>Count</t>
        </is>
      </c>
      <c r="C3" s="55" t="inlineStr">
        <is>
          <t>Class</t>
        </is>
      </c>
      <c r="D3" s="55" t="inlineStr">
        <is>
          <t>Pressure (psig)</t>
        </is>
      </c>
      <c r="E3" s="55" t="inlineStr">
        <is>
          <t>Note</t>
        </is>
      </c>
    </row>
    <row r="4" ht="15" customHeight="1" s="45">
      <c r="A4" s="50" t="inlineStr">
        <is>
          <t>Delivery Lateral Pipe</t>
        </is>
      </c>
      <c r="B4" s="52" t="n">
        <v>1</v>
      </c>
      <c r="C4" s="51" t="inlineStr">
        <is>
          <t>pipe</t>
        </is>
      </c>
      <c r="D4" s="52" t="n">
        <v>44</v>
      </c>
      <c r="E4" s="58" t="inlineStr">
        <is>
          <t>in inspection/maintenance register</t>
        </is>
      </c>
    </row>
    <row r="5" ht="15" customHeight="1" s="45">
      <c r="A5" s="50" t="inlineStr">
        <is>
          <t>Injection/Isolation Valve</t>
        </is>
      </c>
      <c r="B5" s="52" t="n">
        <v>3</v>
      </c>
      <c r="C5" s="51" t="inlineStr">
        <is>
          <t>valve</t>
        </is>
      </c>
      <c r="D5" s="52" t="n">
        <v>44</v>
      </c>
      <c r="E5" s="58" t="inlineStr">
        <is>
          <t>in inspection/maintenance register</t>
        </is>
      </c>
    </row>
    <row r="6" ht="15" customHeight="1" s="45">
      <c r="A6" s="50" t="inlineStr">
        <is>
          <t>Pressure Regulator</t>
        </is>
      </c>
      <c r="B6" s="52" t="n">
        <v>1</v>
      </c>
      <c r="C6" s="51" t="inlineStr">
        <is>
          <t>regulator</t>
        </is>
      </c>
      <c r="D6" s="52" t="n">
        <v>44</v>
      </c>
      <c r="E6" s="58" t="inlineStr">
        <is>
          <t>in inspection/maintenance register</t>
        </is>
      </c>
    </row>
    <row r="7" ht="15" customHeight="1" s="45">
      <c r="A7" s="50" t="inlineStr">
        <is>
          <t>Meter</t>
        </is>
      </c>
      <c r="B7" s="52" t="n">
        <v>1</v>
      </c>
      <c r="C7" s="51" t="inlineStr">
        <is>
          <t>meter</t>
        </is>
      </c>
      <c r="D7" s="52" t="n">
        <v>44</v>
      </c>
      <c r="E7" s="58" t="inlineStr">
        <is>
          <t>in inspection/maintenance register</t>
        </is>
      </c>
    </row>
    <row r="8" ht="15" customHeight="1" s="45">
      <c r="A8" s="50" t="inlineStr">
        <is>
          <t>Buffer Storage</t>
        </is>
      </c>
      <c r="B8" s="52" t="n">
        <v>1</v>
      </c>
      <c r="C8" s="51" t="inlineStr">
        <is>
          <t>storage</t>
        </is>
      </c>
      <c r="D8" s="52" t="n">
        <v>44</v>
      </c>
      <c r="E8" s="58" t="inlineStr">
        <is>
          <t>in inspection/maintenance register</t>
        </is>
      </c>
    </row>
    <row r="9" ht="15" customHeight="1" s="45">
      <c r="A9" s="50" t="inlineStr">
        <is>
          <t>Capstone C200 Microturbine</t>
        </is>
      </c>
      <c r="B9" s="52" t="n">
        <v>1</v>
      </c>
      <c r="C9" s="51" t="inlineStr">
        <is>
          <t>microturbine</t>
        </is>
      </c>
      <c r="D9" s="52" t="n">
        <v>44</v>
      </c>
      <c r="E9" s="58" t="inlineStr">
        <is>
          <t>in inspection/maintenance register</t>
        </is>
      </c>
    </row>
    <row r="10" ht="15" customHeight="1" s="45">
      <c r="A10" s="50" t="inlineStr">
        <is>
          <t>Recuperator Heat Exchanger</t>
        </is>
      </c>
      <c r="B10" s="52" t="n">
        <v>1</v>
      </c>
      <c r="C10" s="51" t="inlineStr">
        <is>
          <t>heat_exchanger</t>
        </is>
      </c>
      <c r="D10" s="52" t="n">
        <v>44</v>
      </c>
      <c r="E10" s="58" t="inlineStr">
        <is>
          <t>in inspection/maintenance register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44" min="1" max="1"/>
    <col width="26" customWidth="1" style="44" min="2" max="2"/>
    <col width="7" customWidth="1" style="44" min="3" max="3"/>
    <col width="16" customWidth="1" style="44" min="4" max="6"/>
    <col width="12" customWidth="1" style="44" min="7" max="7"/>
    <col width="22" customWidth="1" style="44" min="8" max="8"/>
  </cols>
  <sheetData>
    <row r="1" ht="15.75" customHeight="1" s="45">
      <c r="A1" s="46" t="inlineStr">
        <is>
          <t>RELIABILITY INPUTS — OREDA failure-mode rates</t>
        </is>
      </c>
    </row>
    <row r="2" ht="15" customHeight="1" s="45">
      <c r="A2" s="47" t="inlineStr">
        <is>
          <t>Blue = OREDA hardcoded rates (identical per component type across all case studies).</t>
        </is>
      </c>
    </row>
    <row r="3" ht="15" customHeight="1" s="45">
      <c r="A3" s="55" t="inlineStr">
        <is>
          <t>Component</t>
        </is>
      </c>
      <c r="B3" s="55" t="inlineStr">
        <is>
          <t>Failure mode</t>
        </is>
      </c>
      <c r="C3" s="55" t="inlineStr">
        <is>
          <t>FM</t>
        </is>
      </c>
      <c r="D3" s="55" t="inlineStr">
        <is>
          <t>Rate LB (/hr)</t>
        </is>
      </c>
      <c r="E3" s="55" t="inlineStr">
        <is>
          <t>Rate mean (/hr)</t>
        </is>
      </c>
      <c r="F3" s="55" t="inlineStr">
        <is>
          <t>Rate UB (/hr)</t>
        </is>
      </c>
      <c r="G3" s="55" t="inlineStr">
        <is>
          <t>H2 mult</t>
        </is>
      </c>
      <c r="H3" s="55" t="inlineStr">
        <is>
          <t>Source</t>
        </is>
      </c>
    </row>
    <row r="4" ht="15" customHeight="1" s="45">
      <c r="A4" s="51" t="inlineStr">
        <is>
          <t>Injection/Isolation Valve</t>
        </is>
      </c>
      <c r="B4" s="51" t="inlineStr">
        <is>
          <t>Abnormal instrument reading</t>
        </is>
      </c>
      <c r="C4" s="51" t="inlineStr">
        <is>
          <t>AIR</t>
        </is>
      </c>
      <c r="D4" s="69" t="n">
        <v>2.59e-06</v>
      </c>
      <c r="E4" s="69" t="n">
        <v>1.69e-05</v>
      </c>
      <c r="F4" s="69" t="n">
        <v>4.17e-05</v>
      </c>
      <c r="G4" s="74">
        <f>H2_Effect!H5</f>
        <v/>
      </c>
      <c r="H4" s="58" t="inlineStr">
        <is>
          <t>OREDA valve</t>
        </is>
      </c>
    </row>
    <row r="5" ht="15" customHeight="1" s="45">
      <c r="A5" s="51" t="inlineStr">
        <is>
          <t>Injection/Isolation Valve</t>
        </is>
      </c>
      <c r="B5" s="51" t="inlineStr">
        <is>
          <t>External leakage</t>
        </is>
      </c>
      <c r="C5" s="51" t="inlineStr">
        <is>
          <t>EL</t>
        </is>
      </c>
      <c r="D5" s="69" t="n">
        <v>2.38e-07</v>
      </c>
      <c r="E5" s="69" t="n">
        <v>8.11e-06</v>
      </c>
      <c r="F5" s="69" t="n">
        <v>2.77e-05</v>
      </c>
      <c r="G5" s="74">
        <f>H2_Effect!H7</f>
        <v/>
      </c>
      <c r="H5" s="58" t="inlineStr">
        <is>
          <t>OREDA valve</t>
        </is>
      </c>
    </row>
    <row r="6" ht="15" customHeight="1" s="45">
      <c r="A6" s="51" t="inlineStr">
        <is>
          <t>Injection/Isolation Valve</t>
        </is>
      </c>
      <c r="B6" s="51" t="inlineStr">
        <is>
          <t>Minor in-service problems</t>
        </is>
      </c>
      <c r="C6" s="51" t="inlineStr">
        <is>
          <t>SER</t>
        </is>
      </c>
      <c r="D6" s="69" t="n">
        <v>3.04e-06</v>
      </c>
      <c r="E6" s="69" t="n">
        <v>2.58e-05</v>
      </c>
      <c r="F6" s="69" t="n">
        <v>6.73e-05</v>
      </c>
      <c r="G6" s="74">
        <f>H2_Effect!H12</f>
        <v/>
      </c>
      <c r="H6" s="58" t="inlineStr">
        <is>
          <t>OREDA valve</t>
        </is>
      </c>
    </row>
    <row r="7" ht="15" customHeight="1" s="45">
      <c r="A7" s="51" t="inlineStr">
        <is>
          <t>Pressure Regulator</t>
        </is>
      </c>
      <c r="B7" s="51" t="inlineStr">
        <is>
          <t>Abnormal instrument reading</t>
        </is>
      </c>
      <c r="C7" s="51" t="inlineStr">
        <is>
          <t>AIR</t>
        </is>
      </c>
      <c r="E7" s="69" t="n">
        <v>2.14e-07</v>
      </c>
      <c r="G7" s="51" t="n">
        <v>1</v>
      </c>
      <c r="H7" s="58" t="inlineStr">
        <is>
          <t>OREDA regulator</t>
        </is>
      </c>
    </row>
    <row r="8" ht="15" customHeight="1" s="45">
      <c r="A8" s="51" t="inlineStr">
        <is>
          <t>Pressure Regulator</t>
        </is>
      </c>
      <c r="B8" s="51" t="inlineStr">
        <is>
          <t>Delayed operation</t>
        </is>
      </c>
      <c r="C8" s="51" t="inlineStr">
        <is>
          <t>DEL</t>
        </is>
      </c>
      <c r="E8" s="69" t="n">
        <v>4.03e-07</v>
      </c>
      <c r="G8" s="51" t="n">
        <v>1</v>
      </c>
      <c r="H8" s="58" t="inlineStr">
        <is>
          <t>OREDA regulator</t>
        </is>
      </c>
    </row>
    <row r="9" ht="15" customHeight="1" s="45">
      <c r="A9" s="51" t="inlineStr">
        <is>
          <t>Pressure Regulator</t>
        </is>
      </c>
      <c r="B9" s="51" t="inlineStr">
        <is>
          <t>External leakage</t>
        </is>
      </c>
      <c r="C9" s="51" t="inlineStr">
        <is>
          <t>EL</t>
        </is>
      </c>
      <c r="E9" s="69" t="n">
        <v>3.68e-07</v>
      </c>
      <c r="G9" s="51" t="n">
        <v>1</v>
      </c>
      <c r="H9" s="58" t="inlineStr">
        <is>
          <t>OREDA regulator</t>
        </is>
      </c>
    </row>
    <row r="10" ht="15" customHeight="1" s="45">
      <c r="A10" s="51" t="inlineStr">
        <is>
          <t>Pressure Regulator</t>
        </is>
      </c>
      <c r="B10" s="51" t="inlineStr">
        <is>
          <t>Internal leakage</t>
        </is>
      </c>
      <c r="C10" s="51" t="inlineStr">
        <is>
          <t>IL</t>
        </is>
      </c>
      <c r="E10" s="69" t="n">
        <v>9.990000000000001e-07</v>
      </c>
      <c r="G10" s="51" t="n">
        <v>1</v>
      </c>
      <c r="H10" s="58" t="inlineStr">
        <is>
          <t>OREDA regulator</t>
        </is>
      </c>
    </row>
    <row r="11" ht="15" customHeight="1" s="45">
      <c r="A11" s="51" t="inlineStr">
        <is>
          <t>Pressure Regulator</t>
        </is>
      </c>
      <c r="B11" s="51" t="inlineStr">
        <is>
          <t>Minor in-service problems</t>
        </is>
      </c>
      <c r="C11" s="51" t="inlineStr">
        <is>
          <t>SER</t>
        </is>
      </c>
      <c r="E11" s="69" t="n">
        <v>7.6e-07</v>
      </c>
      <c r="G11" s="51" t="n">
        <v>1</v>
      </c>
      <c r="H11" s="58" t="inlineStr">
        <is>
          <t>OREDA regulator</t>
        </is>
      </c>
    </row>
    <row r="12" ht="15" customHeight="1" s="45">
      <c r="A12" s="51" t="inlineStr">
        <is>
          <t>Pressure Regulator</t>
        </is>
      </c>
      <c r="B12" s="51" t="inlineStr">
        <is>
          <t>Spurious operation</t>
        </is>
      </c>
      <c r="C12" s="51" t="inlineStr">
        <is>
          <t>SPO</t>
        </is>
      </c>
      <c r="E12" s="69" t="n">
        <v>8.95e-08</v>
      </c>
      <c r="G12" s="51" t="n">
        <v>1</v>
      </c>
      <c r="H12" s="58" t="inlineStr">
        <is>
          <t>OREDA regulator</t>
        </is>
      </c>
    </row>
    <row r="13" ht="15" customHeight="1" s="45">
      <c r="A13" s="51" t="inlineStr">
        <is>
          <t>Pressure Regulator</t>
        </is>
      </c>
      <c r="B13" s="51" t="inlineStr">
        <is>
          <t>Structural deficiency</t>
        </is>
      </c>
      <c r="C13" s="51" t="inlineStr">
        <is>
          <t>STR</t>
        </is>
      </c>
      <c r="E13" s="69" t="n">
        <v>2.34e-07</v>
      </c>
      <c r="G13" s="51" t="n">
        <v>1</v>
      </c>
      <c r="H13" s="58" t="inlineStr">
        <is>
          <t>OREDA regulator</t>
        </is>
      </c>
    </row>
    <row r="14" ht="15" customHeight="1" s="45">
      <c r="A14" s="51" t="inlineStr">
        <is>
          <t>Pressure Regulator</t>
        </is>
      </c>
      <c r="B14" s="51" t="inlineStr">
        <is>
          <t>Pressure control failure</t>
        </is>
      </c>
      <c r="C14" s="51" t="inlineStr">
        <is>
          <t>PCT</t>
        </is>
      </c>
      <c r="E14" s="69" t="n">
        <v>7.31e-07</v>
      </c>
      <c r="G14" s="51" t="n">
        <v>1</v>
      </c>
      <c r="H14" s="58" t="inlineStr">
        <is>
          <t>OREDA regulator</t>
        </is>
      </c>
    </row>
    <row r="15" ht="15" customHeight="1" s="45">
      <c r="A15" s="51" t="inlineStr">
        <is>
          <t>Meter</t>
        </is>
      </c>
      <c r="B15" s="51" t="inlineStr">
        <is>
          <t>Abnormal instrument reading</t>
        </is>
      </c>
      <c r="C15" s="51" t="inlineStr">
        <is>
          <t>AIR</t>
        </is>
      </c>
      <c r="E15" s="69" t="n">
        <v>2.26e-05</v>
      </c>
      <c r="G15" s="51" t="n">
        <v>1</v>
      </c>
      <c r="H15" s="58" t="inlineStr">
        <is>
          <t>NGRMS meter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44" min="1" max="1"/>
    <col width="28" customWidth="1" style="44" min="2" max="2"/>
    <col width="10" customWidth="1" style="44" min="3" max="5"/>
    <col width="12" customWidth="1" style="44" min="6" max="7"/>
    <col width="14" customWidth="1" style="44" min="8" max="8"/>
  </cols>
  <sheetData>
    <row r="1" ht="15.75" customHeight="1" s="45">
      <c r="A1" s="46" t="inlineStr">
        <is>
          <t>HYDROGEN EFFECT — amplification by pressure band + FCGR thresholds</t>
        </is>
      </c>
    </row>
    <row r="2" ht="15" customHeight="1" s="45">
      <c r="A2" s="47" t="inlineStr">
        <is>
          <t>Applied band selected by native pressure (3 bar). Amplification = applied%/No-H2%.</t>
        </is>
      </c>
    </row>
    <row r="3" ht="15" customHeight="1" s="45">
      <c r="A3" s="51" t="inlineStr">
        <is>
          <t>Native pressure (bar)</t>
        </is>
      </c>
      <c r="B3" s="66" t="n">
        <v>3</v>
      </c>
    </row>
    <row r="4" ht="15" customHeight="1" s="45">
      <c r="A4" s="55" t="inlineStr">
        <is>
          <t>FM</t>
        </is>
      </c>
      <c r="B4" s="55" t="inlineStr">
        <is>
          <t>Failure mode</t>
        </is>
      </c>
      <c r="C4" s="55" t="inlineStr">
        <is>
          <t>No-H2 %</t>
        </is>
      </c>
      <c r="D4" s="55" t="inlineStr">
        <is>
          <t>0-5 bar %</t>
        </is>
      </c>
      <c r="E4" s="55" t="inlineStr">
        <is>
          <t>5-20 bar %</t>
        </is>
      </c>
      <c r="F4" s="55" t="inlineStr">
        <is>
          <t>20-100 bar %</t>
        </is>
      </c>
      <c r="G4" s="55" t="inlineStr">
        <is>
          <t>Applied %</t>
        </is>
      </c>
      <c r="H4" s="55" t="inlineStr">
        <is>
          <t>Amplification</t>
        </is>
      </c>
    </row>
    <row r="5" ht="15" customHeight="1" s="45">
      <c r="A5" s="51" t="inlineStr">
        <is>
          <t>AIR</t>
        </is>
      </c>
      <c r="B5" s="51" t="inlineStr">
        <is>
          <t>Abnormal instrument reading</t>
        </is>
      </c>
      <c r="C5" s="52" t="n">
        <v>4.3</v>
      </c>
      <c r="D5" s="52" t="n">
        <v>4.3</v>
      </c>
      <c r="E5" s="52" t="n">
        <v>4.3</v>
      </c>
      <c r="F5" s="52" t="n">
        <v>4.3</v>
      </c>
      <c r="G5" s="75">
        <f>IF($B$3&lt;5,D5,IF($B$3&lt;20,E5,F5))</f>
        <v/>
      </c>
      <c r="H5" s="75">
        <f>G5/C5</f>
        <v/>
      </c>
    </row>
    <row r="6" ht="15" customHeight="1" s="45">
      <c r="A6" s="51" t="inlineStr">
        <is>
          <t>DEL</t>
        </is>
      </c>
      <c r="B6" s="51" t="inlineStr">
        <is>
          <t>Delayed operation</t>
        </is>
      </c>
      <c r="C6" s="52" t="n">
        <v>12.5</v>
      </c>
      <c r="D6" s="52" t="n">
        <v>32.9</v>
      </c>
      <c r="E6" s="52" t="n">
        <v>62.5</v>
      </c>
      <c r="F6" s="52" t="n">
        <v>67.5</v>
      </c>
      <c r="G6" s="75">
        <f>IF($B$3&lt;5,D6,IF($B$3&lt;20,E6,F6))</f>
        <v/>
      </c>
      <c r="H6" s="75">
        <f>G6/C6</f>
        <v/>
      </c>
    </row>
    <row r="7" ht="15" customHeight="1" s="45">
      <c r="A7" s="51" t="inlineStr">
        <is>
          <t>EL</t>
        </is>
      </c>
      <c r="B7" s="51" t="inlineStr">
        <is>
          <t>External leakage</t>
        </is>
      </c>
      <c r="C7" s="52" t="n">
        <v>12.3</v>
      </c>
      <c r="D7" s="52" t="n">
        <v>29.6</v>
      </c>
      <c r="E7" s="52" t="n">
        <v>48.8</v>
      </c>
      <c r="F7" s="52" t="n">
        <v>57.6</v>
      </c>
      <c r="G7" s="75">
        <f>IF($B$3&lt;5,D7,IF($B$3&lt;20,E7,F7))</f>
        <v/>
      </c>
      <c r="H7" s="75">
        <f>G7/C7</f>
        <v/>
      </c>
    </row>
    <row r="8" ht="15" customHeight="1" s="45">
      <c r="A8" s="51" t="inlineStr">
        <is>
          <t>FTC</t>
        </is>
      </c>
      <c r="B8" s="51" t="inlineStr">
        <is>
          <t>Fail to close</t>
        </is>
      </c>
      <c r="C8" s="52" t="n">
        <v>15.8</v>
      </c>
      <c r="D8" s="52" t="n">
        <v>25.9</v>
      </c>
      <c r="E8" s="52" t="n">
        <v>42.5</v>
      </c>
      <c r="F8" s="52" t="n">
        <v>47.8</v>
      </c>
      <c r="G8" s="75">
        <f>IF($B$3&lt;5,D8,IF($B$3&lt;20,E8,F8))</f>
        <v/>
      </c>
      <c r="H8" s="75">
        <f>G8/C8</f>
        <v/>
      </c>
    </row>
    <row r="9" ht="15" customHeight="1" s="45">
      <c r="A9" s="51" t="inlineStr">
        <is>
          <t>FTO</t>
        </is>
      </c>
      <c r="B9" s="51" t="inlineStr">
        <is>
          <t>Fail to open</t>
        </is>
      </c>
      <c r="C9" s="52" t="n">
        <v>19.1</v>
      </c>
      <c r="D9" s="52" t="n">
        <v>34.7</v>
      </c>
      <c r="E9" s="52" t="n">
        <v>51.1</v>
      </c>
      <c r="F9" s="52" t="n">
        <v>61.2</v>
      </c>
      <c r="G9" s="75">
        <f>IF($B$3&lt;5,D9,IF($B$3&lt;20,E9,F9))</f>
        <v/>
      </c>
      <c r="H9" s="75">
        <f>G9/C9</f>
        <v/>
      </c>
    </row>
    <row r="10" ht="15" customHeight="1" s="45">
      <c r="A10" s="51" t="inlineStr">
        <is>
          <t>IL</t>
        </is>
      </c>
      <c r="B10" s="51" t="inlineStr">
        <is>
          <t>Internal leakage</t>
        </is>
      </c>
      <c r="C10" s="52" t="n">
        <v>4.4</v>
      </c>
      <c r="D10" s="52" t="n">
        <v>8.300000000000001</v>
      </c>
      <c r="E10" s="52" t="n">
        <v>19.4</v>
      </c>
      <c r="F10" s="52" t="n">
        <v>13.9</v>
      </c>
      <c r="G10" s="75">
        <f>IF($B$3&lt;5,D10,IF($B$3&lt;20,E10,F10))</f>
        <v/>
      </c>
      <c r="H10" s="75">
        <f>G10/C10</f>
        <v/>
      </c>
    </row>
    <row r="11" ht="15" customHeight="1" s="45">
      <c r="A11" s="51" t="inlineStr">
        <is>
          <t>VLC</t>
        </is>
      </c>
      <c r="B11" s="51" t="inlineStr">
        <is>
          <t>Valve leakage in closed pos.</t>
        </is>
      </c>
      <c r="C11" s="52" t="n">
        <v>13.1</v>
      </c>
      <c r="D11" s="52" t="n">
        <v>29.1</v>
      </c>
      <c r="E11" s="52" t="n">
        <v>48.1</v>
      </c>
      <c r="F11" s="52" t="n">
        <v>55.8</v>
      </c>
      <c r="G11" s="75">
        <f>IF($B$3&lt;5,D11,IF($B$3&lt;20,E11,F11))</f>
        <v/>
      </c>
      <c r="H11" s="75">
        <f>G11/C11</f>
        <v/>
      </c>
    </row>
    <row r="12" ht="15" customHeight="1" s="45">
      <c r="A12" s="51" t="inlineStr">
        <is>
          <t>SER</t>
        </is>
      </c>
      <c r="B12" s="51" t="inlineStr">
        <is>
          <t>Minor in-service problems</t>
        </is>
      </c>
      <c r="C12" s="52" t="n">
        <v>8.9</v>
      </c>
      <c r="D12" s="52" t="n">
        <v>13.7</v>
      </c>
      <c r="E12" s="52" t="n">
        <v>15</v>
      </c>
      <c r="F12" s="52" t="n">
        <v>16.9</v>
      </c>
      <c r="G12" s="75">
        <f>IF($B$3&lt;5,D12,IF($B$3&lt;20,E12,F12))</f>
        <v/>
      </c>
      <c r="H12" s="75">
        <f>G12/C12</f>
        <v/>
      </c>
    </row>
    <row r="13" ht="15" customHeight="1" s="45">
      <c r="A13" s="51" t="inlineStr">
        <is>
          <t>SPO</t>
        </is>
      </c>
      <c r="B13" s="51" t="inlineStr">
        <is>
          <t>Spurious operation</t>
        </is>
      </c>
      <c r="C13" s="52" t="n">
        <v>1.8</v>
      </c>
      <c r="D13" s="52" t="n">
        <v>1.8</v>
      </c>
      <c r="E13" s="52" t="n">
        <v>1.8</v>
      </c>
      <c r="F13" s="52" t="n">
        <v>1.8</v>
      </c>
      <c r="G13" s="75">
        <f>IF($B$3&lt;5,D13,IF($B$3&lt;20,E13,F13))</f>
        <v/>
      </c>
      <c r="H13" s="75">
        <f>G13/C13</f>
        <v/>
      </c>
    </row>
    <row r="14" ht="15" customHeight="1" s="45">
      <c r="A14" s="51" t="inlineStr">
        <is>
          <t>STR</t>
        </is>
      </c>
      <c r="B14" s="51" t="inlineStr">
        <is>
          <t>Structural deficiency</t>
        </is>
      </c>
      <c r="C14" s="52" t="n">
        <v>9.300000000000001</v>
      </c>
      <c r="D14" s="52" t="n">
        <v>26.6</v>
      </c>
      <c r="E14" s="52" t="n">
        <v>43.8</v>
      </c>
      <c r="F14" s="52" t="n">
        <v>54.5</v>
      </c>
      <c r="G14" s="75">
        <f>IF($B$3&lt;5,D14,IF($B$3&lt;20,E14,F14))</f>
        <v/>
      </c>
      <c r="H14" s="75">
        <f>G14/C14</f>
        <v/>
      </c>
    </row>
    <row r="16" ht="15" customHeight="1" s="45">
      <c r="A16" s="76" t="inlineStr">
        <is>
          <t>FCGR multipliers (pipe-body fatigue) — see Global_Assumptions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44" min="1" max="1"/>
    <col width="26" customWidth="1" style="44" min="2" max="2"/>
    <col width="7" customWidth="1" style="44" min="3" max="3"/>
    <col width="16" customWidth="1" style="44" min="4" max="4"/>
    <col width="10" customWidth="1" style="44" min="5" max="5"/>
    <col width="16" customWidth="1" style="44" min="6" max="6"/>
    <col width="12" customWidth="1" style="44" min="7" max="7"/>
    <col width="14" customWidth="1" style="44" min="8" max="9"/>
  </cols>
  <sheetData>
    <row r="1" ht="15.75" customHeight="1" s="45">
      <c r="A1" s="46" t="inlineStr">
        <is>
          <t>FAILURE RATES, MTTF &amp; 20-YEAR PoF</t>
        </is>
      </c>
    </row>
    <row r="2" ht="15" customHeight="1" s="45">
      <c r="A2" s="47" t="inlineStr">
        <is>
          <t>PoF(20yr)=1-EXP(-rate*8760*horizon). Horizon and basis from Global_Assumptions.</t>
        </is>
      </c>
    </row>
    <row r="3" ht="15" customHeight="1" s="45">
      <c r="A3" s="55" t="inlineStr">
        <is>
          <t>Component</t>
        </is>
      </c>
      <c r="B3" s="55" t="inlineStr">
        <is>
          <t>Failure mode</t>
        </is>
      </c>
      <c r="C3" s="55" t="inlineStr">
        <is>
          <t>FM</t>
        </is>
      </c>
      <c r="D3" s="55" t="inlineStr">
        <is>
          <t>Mean rate (/hr)</t>
        </is>
      </c>
      <c r="E3" s="55" t="inlineStr">
        <is>
          <t>H2 mult</t>
        </is>
      </c>
      <c r="F3" s="55" t="inlineStr">
        <is>
          <t>H2 rate (/hr)</t>
        </is>
      </c>
      <c r="G3" s="55" t="inlineStr">
        <is>
          <t>MTTF (yr)</t>
        </is>
      </c>
      <c r="H3" s="55" t="inlineStr">
        <is>
          <t>PoF20 base</t>
        </is>
      </c>
      <c r="I3" s="55" t="inlineStr">
        <is>
          <t>PoF20 H2</t>
        </is>
      </c>
    </row>
    <row r="4" ht="15" customHeight="1" s="45">
      <c r="A4" s="53">
        <f>Reliability_Inputs!A4</f>
        <v/>
      </c>
      <c r="B4" s="53">
        <f>Reliability_Inputs!B4</f>
        <v/>
      </c>
      <c r="C4" s="53">
        <f>Reliability_Inputs!C4</f>
        <v/>
      </c>
      <c r="D4" s="77">
        <f>Reliability_Inputs!E4</f>
        <v/>
      </c>
      <c r="E4" s="74">
        <f>Reliability_Inputs!G4</f>
        <v/>
      </c>
      <c r="F4" s="78">
        <f>D4*E4</f>
        <v/>
      </c>
      <c r="G4" s="79">
        <f>IF(D4&gt;0,1/(D4*8760),"-")</f>
        <v/>
      </c>
      <c r="H4" s="80">
        <f>1-EXP(-D4*8760*Global_Assumptions!$B$52)</f>
        <v/>
      </c>
      <c r="I4" s="80">
        <f>1-EXP(-F4*8760*Global_Assumptions!$B$52)</f>
        <v/>
      </c>
    </row>
    <row r="5" ht="15" customHeight="1" s="45">
      <c r="A5" s="53">
        <f>Reliability_Inputs!A5</f>
        <v/>
      </c>
      <c r="B5" s="53">
        <f>Reliability_Inputs!B5</f>
        <v/>
      </c>
      <c r="C5" s="53">
        <f>Reliability_Inputs!C5</f>
        <v/>
      </c>
      <c r="D5" s="77">
        <f>Reliability_Inputs!E5</f>
        <v/>
      </c>
      <c r="E5" s="74">
        <f>Reliability_Inputs!G5</f>
        <v/>
      </c>
      <c r="F5" s="78">
        <f>D5*E5</f>
        <v/>
      </c>
      <c r="G5" s="79">
        <f>IF(D5&gt;0,1/(D5*8760),"-")</f>
        <v/>
      </c>
      <c r="H5" s="80">
        <f>1-EXP(-D5*8760*Global_Assumptions!$B$52)</f>
        <v/>
      </c>
      <c r="I5" s="80">
        <f>1-EXP(-F5*8760*Global_Assumptions!$B$52)</f>
        <v/>
      </c>
    </row>
    <row r="6" ht="15" customHeight="1" s="45">
      <c r="A6" s="53">
        <f>Reliability_Inputs!A6</f>
        <v/>
      </c>
      <c r="B6" s="53">
        <f>Reliability_Inputs!B6</f>
        <v/>
      </c>
      <c r="C6" s="53">
        <f>Reliability_Inputs!C6</f>
        <v/>
      </c>
      <c r="D6" s="77">
        <f>Reliability_Inputs!E6</f>
        <v/>
      </c>
      <c r="E6" s="74">
        <f>Reliability_Inputs!G6</f>
        <v/>
      </c>
      <c r="F6" s="78">
        <f>D6*E6</f>
        <v/>
      </c>
      <c r="G6" s="79">
        <f>IF(D6&gt;0,1/(D6*8760),"-")</f>
        <v/>
      </c>
      <c r="H6" s="80">
        <f>1-EXP(-D6*8760*Global_Assumptions!$B$52)</f>
        <v/>
      </c>
      <c r="I6" s="80">
        <f>1-EXP(-F6*8760*Global_Assumptions!$B$52)</f>
        <v/>
      </c>
    </row>
    <row r="7" ht="15" customHeight="1" s="45">
      <c r="A7" s="53">
        <f>Reliability_Inputs!A7</f>
        <v/>
      </c>
      <c r="B7" s="53">
        <f>Reliability_Inputs!B7</f>
        <v/>
      </c>
      <c r="C7" s="53">
        <f>Reliability_Inputs!C7</f>
        <v/>
      </c>
      <c r="D7" s="77">
        <f>Reliability_Inputs!E7</f>
        <v/>
      </c>
      <c r="E7" s="74">
        <f>Reliability_Inputs!G7</f>
        <v/>
      </c>
      <c r="F7" s="78">
        <f>D7*E7</f>
        <v/>
      </c>
      <c r="G7" s="79">
        <f>IF(D7&gt;0,1/(D7*8760),"-")</f>
        <v/>
      </c>
      <c r="H7" s="80">
        <f>1-EXP(-D7*8760*Global_Assumptions!$B$52)</f>
        <v/>
      </c>
      <c r="I7" s="80">
        <f>1-EXP(-F7*8760*Global_Assumptions!$B$52)</f>
        <v/>
      </c>
    </row>
    <row r="8" ht="15" customHeight="1" s="45">
      <c r="A8" s="53">
        <f>Reliability_Inputs!A8</f>
        <v/>
      </c>
      <c r="B8" s="53">
        <f>Reliability_Inputs!B8</f>
        <v/>
      </c>
      <c r="C8" s="53">
        <f>Reliability_Inputs!C8</f>
        <v/>
      </c>
      <c r="D8" s="77">
        <f>Reliability_Inputs!E8</f>
        <v/>
      </c>
      <c r="E8" s="74">
        <f>Reliability_Inputs!G8</f>
        <v/>
      </c>
      <c r="F8" s="78">
        <f>D8*E8</f>
        <v/>
      </c>
      <c r="G8" s="79">
        <f>IF(D8&gt;0,1/(D8*8760),"-")</f>
        <v/>
      </c>
      <c r="H8" s="80">
        <f>1-EXP(-D8*8760*Global_Assumptions!$B$52)</f>
        <v/>
      </c>
      <c r="I8" s="80">
        <f>1-EXP(-F8*8760*Global_Assumptions!$B$52)</f>
        <v/>
      </c>
    </row>
    <row r="9" ht="15" customHeight="1" s="45">
      <c r="A9" s="53">
        <f>Reliability_Inputs!A9</f>
        <v/>
      </c>
      <c r="B9" s="53">
        <f>Reliability_Inputs!B9</f>
        <v/>
      </c>
      <c r="C9" s="53">
        <f>Reliability_Inputs!C9</f>
        <v/>
      </c>
      <c r="D9" s="77">
        <f>Reliability_Inputs!E9</f>
        <v/>
      </c>
      <c r="E9" s="74">
        <f>Reliability_Inputs!G9</f>
        <v/>
      </c>
      <c r="F9" s="78">
        <f>D9*E9</f>
        <v/>
      </c>
      <c r="G9" s="79">
        <f>IF(D9&gt;0,1/(D9*8760),"-")</f>
        <v/>
      </c>
      <c r="H9" s="80">
        <f>1-EXP(-D9*8760*Global_Assumptions!$B$52)</f>
        <v/>
      </c>
      <c r="I9" s="80">
        <f>1-EXP(-F9*8760*Global_Assumptions!$B$52)</f>
        <v/>
      </c>
    </row>
    <row r="10" ht="15" customHeight="1" s="45">
      <c r="A10" s="53">
        <f>Reliability_Inputs!A10</f>
        <v/>
      </c>
      <c r="B10" s="53">
        <f>Reliability_Inputs!B10</f>
        <v/>
      </c>
      <c r="C10" s="53">
        <f>Reliability_Inputs!C10</f>
        <v/>
      </c>
      <c r="D10" s="77">
        <f>Reliability_Inputs!E10</f>
        <v/>
      </c>
      <c r="E10" s="74">
        <f>Reliability_Inputs!G10</f>
        <v/>
      </c>
      <c r="F10" s="78">
        <f>D10*E10</f>
        <v/>
      </c>
      <c r="G10" s="79">
        <f>IF(D10&gt;0,1/(D10*8760),"-")</f>
        <v/>
      </c>
      <c r="H10" s="80">
        <f>1-EXP(-D10*8760*Global_Assumptions!$B$52)</f>
        <v/>
      </c>
      <c r="I10" s="80">
        <f>1-EXP(-F10*8760*Global_Assumptions!$B$52)</f>
        <v/>
      </c>
    </row>
    <row r="11" ht="15" customHeight="1" s="45">
      <c r="A11" s="53">
        <f>Reliability_Inputs!A11</f>
        <v/>
      </c>
      <c r="B11" s="53">
        <f>Reliability_Inputs!B11</f>
        <v/>
      </c>
      <c r="C11" s="53">
        <f>Reliability_Inputs!C11</f>
        <v/>
      </c>
      <c r="D11" s="77">
        <f>Reliability_Inputs!E11</f>
        <v/>
      </c>
      <c r="E11" s="74">
        <f>Reliability_Inputs!G11</f>
        <v/>
      </c>
      <c r="F11" s="78">
        <f>D11*E11</f>
        <v/>
      </c>
      <c r="G11" s="79">
        <f>IF(D11&gt;0,1/(D11*8760),"-")</f>
        <v/>
      </c>
      <c r="H11" s="80">
        <f>1-EXP(-D11*8760*Global_Assumptions!$B$52)</f>
        <v/>
      </c>
      <c r="I11" s="80">
        <f>1-EXP(-F11*8760*Global_Assumptions!$B$52)</f>
        <v/>
      </c>
    </row>
    <row r="12" ht="15" customHeight="1" s="45">
      <c r="A12" s="53">
        <f>Reliability_Inputs!A12</f>
        <v/>
      </c>
      <c r="B12" s="53">
        <f>Reliability_Inputs!B12</f>
        <v/>
      </c>
      <c r="C12" s="53">
        <f>Reliability_Inputs!C12</f>
        <v/>
      </c>
      <c r="D12" s="77">
        <f>Reliability_Inputs!E12</f>
        <v/>
      </c>
      <c r="E12" s="74">
        <f>Reliability_Inputs!G12</f>
        <v/>
      </c>
      <c r="F12" s="78">
        <f>D12*E12</f>
        <v/>
      </c>
      <c r="G12" s="79">
        <f>IF(D12&gt;0,1/(D12*8760),"-")</f>
        <v/>
      </c>
      <c r="H12" s="80">
        <f>1-EXP(-D12*8760*Global_Assumptions!$B$52)</f>
        <v/>
      </c>
      <c r="I12" s="80">
        <f>1-EXP(-F12*8760*Global_Assumptions!$B$52)</f>
        <v/>
      </c>
    </row>
    <row r="13" ht="15" customHeight="1" s="45">
      <c r="A13" s="53">
        <f>Reliability_Inputs!A13</f>
        <v/>
      </c>
      <c r="B13" s="53">
        <f>Reliability_Inputs!B13</f>
        <v/>
      </c>
      <c r="C13" s="53">
        <f>Reliability_Inputs!C13</f>
        <v/>
      </c>
      <c r="D13" s="77">
        <f>Reliability_Inputs!E13</f>
        <v/>
      </c>
      <c r="E13" s="74">
        <f>Reliability_Inputs!G13</f>
        <v/>
      </c>
      <c r="F13" s="78">
        <f>D13*E13</f>
        <v/>
      </c>
      <c r="G13" s="79">
        <f>IF(D13&gt;0,1/(D13*8760),"-")</f>
        <v/>
      </c>
      <c r="H13" s="80">
        <f>1-EXP(-D13*8760*Global_Assumptions!$B$52)</f>
        <v/>
      </c>
      <c r="I13" s="80">
        <f>1-EXP(-F13*8760*Global_Assumptions!$B$52)</f>
        <v/>
      </c>
    </row>
    <row r="14" ht="15" customHeight="1" s="45">
      <c r="A14" s="53">
        <f>Reliability_Inputs!A14</f>
        <v/>
      </c>
      <c r="B14" s="53">
        <f>Reliability_Inputs!B14</f>
        <v/>
      </c>
      <c r="C14" s="53">
        <f>Reliability_Inputs!C14</f>
        <v/>
      </c>
      <c r="D14" s="77">
        <f>Reliability_Inputs!E14</f>
        <v/>
      </c>
      <c r="E14" s="74">
        <f>Reliability_Inputs!G14</f>
        <v/>
      </c>
      <c r="F14" s="78">
        <f>D14*E14</f>
        <v/>
      </c>
      <c r="G14" s="79">
        <f>IF(D14&gt;0,1/(D14*8760),"-")</f>
        <v/>
      </c>
      <c r="H14" s="80">
        <f>1-EXP(-D14*8760*Global_Assumptions!$B$52)</f>
        <v/>
      </c>
      <c r="I14" s="80">
        <f>1-EXP(-F14*8760*Global_Assumptions!$B$52)</f>
        <v/>
      </c>
    </row>
    <row r="15" ht="15" customHeight="1" s="45">
      <c r="A15" s="53">
        <f>Reliability_Inputs!A15</f>
        <v/>
      </c>
      <c r="B15" s="53">
        <f>Reliability_Inputs!B15</f>
        <v/>
      </c>
      <c r="C15" s="53">
        <f>Reliability_Inputs!C15</f>
        <v/>
      </c>
      <c r="D15" s="77">
        <f>Reliability_Inputs!E15</f>
        <v/>
      </c>
      <c r="E15" s="74">
        <f>Reliability_Inputs!G15</f>
        <v/>
      </c>
      <c r="F15" s="78">
        <f>D15*E15</f>
        <v/>
      </c>
      <c r="G15" s="79">
        <f>IF(D15&gt;0,1/(D15*8760),"-")</f>
        <v/>
      </c>
      <c r="H15" s="80">
        <f>1-EXP(-D15*8760*Global_Assumptions!$B$52)</f>
        <v/>
      </c>
      <c r="I15" s="80">
        <f>1-EXP(-F15*8760*Global_Assumptions!$B$52)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44" min="1" max="1"/>
    <col width="14" customWidth="1" style="44" min="2" max="2"/>
    <col width="16" customWidth="1" style="44" min="3" max="4"/>
    <col width="14" customWidth="1" style="44" min="5" max="6"/>
    <col width="16" customWidth="1" style="44" min="7" max="7"/>
  </cols>
  <sheetData>
    <row r="1" ht="15.75" customHeight="1" s="45">
      <c r="A1" s="46" t="inlineStr">
        <is>
          <t>PIPE-BODY INTEGRITY SCREENING — UCI Microturbine</t>
        </is>
      </c>
    </row>
    <row r="2" ht="15" customHeight="1" s="45">
      <c r="A2" s="47" t="inlineStr">
        <is>
          <t>API 5L B: 2-in OD, 0.154-in WT. FCGR mult &amp; base rates from Global_Assumptions (harmonized thresholds).</t>
        </is>
      </c>
    </row>
    <row r="3" ht="15" customHeight="1" s="45">
      <c r="A3" s="51" t="inlineStr">
        <is>
          <t>Flaw length-to-depth ratio</t>
        </is>
      </c>
      <c r="B3" s="52" t="n">
        <v>15</v>
      </c>
    </row>
    <row r="4" ht="15" customHeight="1" s="45">
      <c r="A4" s="51" t="inlineStr">
        <is>
          <t>SMYS (psi)</t>
        </is>
      </c>
      <c r="B4" s="52" t="n">
        <v>35000</v>
      </c>
    </row>
    <row r="5" ht="15" customHeight="1" s="45">
      <c r="A5" s="51" t="inlineStr">
        <is>
          <t>KIC (MPa.m^0.5)</t>
        </is>
      </c>
      <c r="B5" s="52" t="n">
        <v>55</v>
      </c>
    </row>
    <row r="6" ht="15" customHeight="1" s="45">
      <c r="A6" s="51" t="inlineStr">
        <is>
          <t>OD (in)</t>
        </is>
      </c>
      <c r="B6" s="52" t="n">
        <v>2</v>
      </c>
    </row>
    <row r="7" ht="15" customHeight="1" s="45">
      <c r="A7" s="51" t="inlineStr">
        <is>
          <t>WT (in)</t>
        </is>
      </c>
      <c r="B7" s="52" t="n">
        <v>0.154</v>
      </c>
    </row>
    <row r="8" ht="15" customHeight="1" s="45">
      <c r="A8" s="51" t="inlineStr">
        <is>
          <t>MOP (psi)</t>
        </is>
      </c>
      <c r="B8" s="52" t="n">
        <v>200</v>
      </c>
    </row>
    <row r="9" ht="15" customHeight="1" s="45">
      <c r="A9" s="51" t="inlineStr">
        <is>
          <t>Stress ratio R</t>
        </is>
      </c>
      <c r="B9" s="52" t="n">
        <v>0.92</v>
      </c>
    </row>
    <row r="10" ht="15" customHeight="1" s="45">
      <c r="A10" s="51" t="inlineStr">
        <is>
          <t>Pressure cycles/yr</t>
        </is>
      </c>
      <c r="B10" s="52" t="n">
        <v>10000</v>
      </c>
    </row>
    <row r="11" ht="15" customHeight="1" s="45">
      <c r="A11" s="51" t="inlineStr">
        <is>
          <t>Avg crack depth (in)</t>
        </is>
      </c>
      <c r="B11" s="52" t="n">
        <v>0.035</v>
      </c>
    </row>
    <row r="12" ht="15" customHeight="1" s="45">
      <c r="A12" s="51" t="inlineStr">
        <is>
          <t>Steel grade</t>
        </is>
      </c>
      <c r="B12" s="52" t="inlineStr">
        <is>
          <t>API 5L B</t>
        </is>
      </c>
    </row>
    <row r="13" ht="15" customHeight="1" s="45">
      <c r="A13" s="51" t="inlineStr">
        <is>
          <t>Base annual leak rate (/hr)</t>
        </is>
      </c>
      <c r="B13" s="77">
        <f>Global_Assumptions!$B$53</f>
        <v/>
      </c>
    </row>
    <row r="14" ht="15" customHeight="1" s="45">
      <c r="A14" s="51" t="inlineStr">
        <is>
          <t>Base annual burst rate (/hr)</t>
        </is>
      </c>
      <c r="B14" s="77">
        <f>Global_Assumptions!$B$54</f>
        <v/>
      </c>
    </row>
    <row r="16" ht="23.25" customHeight="1" s="45">
      <c r="A16" s="55" t="inlineStr">
        <is>
          <t>Blend %</t>
        </is>
      </c>
      <c r="B16" s="55" t="inlineStr">
        <is>
          <t>FCGR mult</t>
        </is>
      </c>
      <c r="C16" s="55" t="inlineStr">
        <is>
          <t>Leak rate H2 (/hr)</t>
        </is>
      </c>
      <c r="D16" s="55" t="inlineStr">
        <is>
          <t>Burst rate H2 (/hr)</t>
        </is>
      </c>
      <c r="E16" s="55" t="inlineStr">
        <is>
          <t>PoF leak 20yr</t>
        </is>
      </c>
      <c r="F16" s="55" t="inlineStr">
        <is>
          <t>PoF burst 20yr</t>
        </is>
      </c>
      <c r="G16" s="55" t="inlineStr">
        <is>
          <t>Combined PoF 20yr</t>
        </is>
      </c>
    </row>
    <row r="17" ht="15" customHeight="1" s="45">
      <c r="A17" s="52" t="n">
        <v>0</v>
      </c>
      <c r="B17" s="51">
        <f>VLOOKUP(A17,Global_Assumptions!$A$72:$B$79,2,FALSE())</f>
        <v/>
      </c>
      <c r="C17" s="78">
        <f>$B$13*B17</f>
        <v/>
      </c>
      <c r="D17" s="78">
        <f>$B$14*B17</f>
        <v/>
      </c>
      <c r="E17" s="80">
        <f>1-EXP(-C17*8760*Global_Assumptions!$B$52)</f>
        <v/>
      </c>
      <c r="F17" s="80">
        <f>1-EXP(-D17*8760*Global_Assumptions!$B$52)</f>
        <v/>
      </c>
      <c r="G17" s="80">
        <f>1-(1-E17)*(1-F17)</f>
        <v/>
      </c>
    </row>
    <row r="18" ht="15" customHeight="1" s="45">
      <c r="A18" s="52" t="n">
        <v>5</v>
      </c>
      <c r="B18" s="51">
        <f>VLOOKUP(A18,Global_Assumptions!$A$72:$B$79,2,FALSE())</f>
        <v/>
      </c>
      <c r="C18" s="78">
        <f>$B$13*B18</f>
        <v/>
      </c>
      <c r="D18" s="78">
        <f>$B$14*B18</f>
        <v/>
      </c>
      <c r="E18" s="80">
        <f>1-EXP(-C18*8760*Global_Assumptions!$B$52)</f>
        <v/>
      </c>
      <c r="F18" s="80">
        <f>1-EXP(-D18*8760*Global_Assumptions!$B$52)</f>
        <v/>
      </c>
      <c r="G18" s="80">
        <f>1-(1-E18)*(1-F18)</f>
        <v/>
      </c>
    </row>
    <row r="19" ht="15" customHeight="1" s="45">
      <c r="A19" s="52" t="n">
        <v>10</v>
      </c>
      <c r="B19" s="51">
        <f>VLOOKUP(A19,Global_Assumptions!$A$72:$B$79,2,FALSE())</f>
        <v/>
      </c>
      <c r="C19" s="78">
        <f>$B$13*B19</f>
        <v/>
      </c>
      <c r="D19" s="78">
        <f>$B$14*B19</f>
        <v/>
      </c>
      <c r="E19" s="80">
        <f>1-EXP(-C19*8760*Global_Assumptions!$B$52)</f>
        <v/>
      </c>
      <c r="F19" s="80">
        <f>1-EXP(-D19*8760*Global_Assumptions!$B$52)</f>
        <v/>
      </c>
      <c r="G19" s="80">
        <f>1-(1-E19)*(1-F19)</f>
        <v/>
      </c>
    </row>
    <row r="20" ht="15" customHeight="1" s="45">
      <c r="A20" s="52" t="n">
        <v>20</v>
      </c>
      <c r="B20" s="51">
        <f>VLOOKUP(A20,Global_Assumptions!$A$72:$B$79,2,FALSE())</f>
        <v/>
      </c>
      <c r="C20" s="78">
        <f>$B$13*B20</f>
        <v/>
      </c>
      <c r="D20" s="78">
        <f>$B$14*B20</f>
        <v/>
      </c>
      <c r="E20" s="80">
        <f>1-EXP(-C20*8760*Global_Assumptions!$B$52)</f>
        <v/>
      </c>
      <c r="F20" s="80">
        <f>1-EXP(-D20*8760*Global_Assumptions!$B$52)</f>
        <v/>
      </c>
      <c r="G20" s="80">
        <f>1-(1-E20)*(1-F20)</f>
        <v/>
      </c>
    </row>
    <row r="21" ht="15" customHeight="1" s="45">
      <c r="A21" s="52" t="n">
        <v>30</v>
      </c>
      <c r="B21" s="51">
        <f>VLOOKUP(A21,Global_Assumptions!$A$72:$B$79,2,FALSE())</f>
        <v/>
      </c>
      <c r="C21" s="78">
        <f>$B$13*B21</f>
        <v/>
      </c>
      <c r="D21" s="78">
        <f>$B$14*B21</f>
        <v/>
      </c>
      <c r="E21" s="80">
        <f>1-EXP(-C21*8760*Global_Assumptions!$B$52)</f>
        <v/>
      </c>
      <c r="F21" s="80">
        <f>1-EXP(-D21*8760*Global_Assumptions!$B$52)</f>
        <v/>
      </c>
      <c r="G21" s="80">
        <f>1-(1-E21)*(1-F21)</f>
        <v/>
      </c>
    </row>
    <row r="22" ht="15" customHeight="1" s="45">
      <c r="A22" s="52" t="n">
        <v>50</v>
      </c>
      <c r="B22" s="51">
        <f>VLOOKUP(A22,Global_Assumptions!$A$72:$B$79,2,FALSE())</f>
        <v/>
      </c>
      <c r="C22" s="78">
        <f>$B$13*B22</f>
        <v/>
      </c>
      <c r="D22" s="78">
        <f>$B$14*B22</f>
        <v/>
      </c>
      <c r="E22" s="80">
        <f>1-EXP(-C22*8760*Global_Assumptions!$B$52)</f>
        <v/>
      </c>
      <c r="F22" s="80">
        <f>1-EXP(-D22*8760*Global_Assumptions!$B$52)</f>
        <v/>
      </c>
      <c r="G22" s="80">
        <f>1-(1-E22)*(1-F22)</f>
        <v/>
      </c>
    </row>
    <row r="23" ht="15" customHeight="1" s="45">
      <c r="A23" s="52" t="n">
        <v>75</v>
      </c>
      <c r="B23" s="51">
        <f>VLOOKUP(A23,Global_Assumptions!$A$72:$B$79,2,FALSE())</f>
        <v/>
      </c>
      <c r="C23" s="78">
        <f>$B$13*B23</f>
        <v/>
      </c>
      <c r="D23" s="78">
        <f>$B$14*B23</f>
        <v/>
      </c>
      <c r="E23" s="80">
        <f>1-EXP(-C23*8760*Global_Assumptions!$B$52)</f>
        <v/>
      </c>
      <c r="F23" s="80">
        <f>1-EXP(-D23*8760*Global_Assumptions!$B$52)</f>
        <v/>
      </c>
      <c r="G23" s="80">
        <f>1-(1-E23)*(1-F23)</f>
        <v/>
      </c>
    </row>
    <row r="24" ht="15" customHeight="1" s="45">
      <c r="A24" s="52" t="n">
        <v>100</v>
      </c>
      <c r="B24" s="51">
        <f>VLOOKUP(A24,Global_Assumptions!$A$72:$B$79,2,FALSE())</f>
        <v/>
      </c>
      <c r="C24" s="78">
        <f>$B$13*B24</f>
        <v/>
      </c>
      <c r="D24" s="78">
        <f>$B$14*B24</f>
        <v/>
      </c>
      <c r="E24" s="80">
        <f>1-EXP(-C24*8760*Global_Assumptions!$B$52)</f>
        <v/>
      </c>
      <c r="F24" s="80">
        <f>1-EXP(-D24*8760*Global_Assumptions!$B$52)</f>
        <v/>
      </c>
      <c r="G24" s="80">
        <f>1-(1-E24)*(1-F24)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44" min="1" max="1"/>
    <col width="8" customWidth="1" style="44" min="2" max="2"/>
    <col width="30" customWidth="1" style="44" min="3" max="3"/>
    <col width="14" customWidth="1" style="44" min="4" max="5"/>
    <col width="12" customWidth="1" style="44" min="6" max="6"/>
    <col width="24" customWidth="1" style="44" min="7" max="7"/>
  </cols>
  <sheetData>
    <row r="1" ht="15.75" customHeight="1" s="45">
      <c r="A1" s="46" t="inlineStr">
        <is>
          <t>COMPONENT-LEVEL 20-YEAR PoF SUMMARY (harmonized thresholds)</t>
        </is>
      </c>
    </row>
    <row r="2" ht="15" customHeight="1" s="45">
      <c r="A2" s="47" t="inlineStr">
        <is>
          <t>Series-logic fault tree. PoF calibrated to UCI component Bayesian-network models (100k MC) + UCI turbine model. Amber/red flags from Global_Assumptions.</t>
        </is>
      </c>
    </row>
    <row r="3" ht="15" customHeight="1" s="45">
      <c r="A3" s="55" t="inlineStr">
        <is>
          <t>Component</t>
        </is>
      </c>
      <c r="B3" s="55" t="inlineStr">
        <is>
          <t>Count</t>
        </is>
      </c>
      <c r="C3" s="55" t="inlineStr">
        <is>
          <t>Approach</t>
        </is>
      </c>
      <c r="D3" s="55" t="inlineStr">
        <is>
          <t>PoF20 base</t>
        </is>
      </c>
      <c r="E3" s="55" t="inlineStr">
        <is>
          <t>PoF20 H2</t>
        </is>
      </c>
      <c r="F3" s="55" t="inlineStr">
        <is>
          <t>Flag</t>
        </is>
      </c>
      <c r="G3" s="55" t="inlineStr">
        <is>
          <t>Dominant hydrogen effect</t>
        </is>
      </c>
    </row>
    <row r="4" ht="15" customHeight="1" s="45">
      <c r="A4" s="51" t="inlineStr">
        <is>
          <t>Delivery Lateral Pipe</t>
        </is>
      </c>
      <c r="B4" s="52" t="n">
        <v>1</v>
      </c>
      <c r="C4" s="51" t="inlineStr">
        <is>
          <t>Fracture-mechanics fatigue</t>
        </is>
      </c>
      <c r="D4" s="81">
        <f>Pipe_Integrity!G17</f>
        <v/>
      </c>
      <c r="E4" s="81">
        <f>Pipe_Integrity!$G$20</f>
        <v/>
      </c>
      <c r="F4" s="51">
        <f>IF(E4&gt;=Global_Assumptions!$B$56,"RED",IF(E4&gt;=Global_Assumptions!$B$55,"AMBER","OK"))</f>
        <v/>
      </c>
      <c r="G4" s="51" t="inlineStr">
        <is>
          <t>FCGR up ~1 order of magnitude</t>
        </is>
      </c>
    </row>
    <row r="5" ht="15" customHeight="1" s="45">
      <c r="A5" s="51" t="inlineStr">
        <is>
          <t>Injection/Isolation Valve</t>
        </is>
      </c>
      <c r="B5" s="52" t="n">
        <v>3</v>
      </c>
      <c r="C5" s="51" t="inlineStr">
        <is>
          <t>UCI valve BN (100k MC)</t>
        </is>
      </c>
      <c r="D5" s="80" t="n">
        <v>0.6189</v>
      </c>
      <c r="E5" s="80" t="n">
        <v>0.6795</v>
      </c>
      <c r="F5" s="51">
        <f>IF(E5&gt;=Global_Assumptions!$B$56,"RED",IF(E5&gt;=Global_Assumptions!$B$55,"AMBER","OK"))</f>
        <v/>
      </c>
      <c r="G5" s="51" t="inlineStr">
        <is>
          <t>EL &amp; delayed-op amplified</t>
        </is>
      </c>
    </row>
    <row r="6" ht="15" customHeight="1" s="45">
      <c r="A6" s="51" t="inlineStr">
        <is>
          <t>Pressure Regulator</t>
        </is>
      </c>
      <c r="B6" s="52" t="n">
        <v>1</v>
      </c>
      <c r="C6" s="51" t="inlineStr">
        <is>
          <t>UCI regulator BN (100k MC)</t>
        </is>
      </c>
      <c r="D6" s="80" t="n">
        <v>0.8537</v>
      </c>
      <c r="E6" s="80" t="n">
        <v>0.8716</v>
      </c>
      <c r="F6" s="51">
        <f>IF(E6&gt;=Global_Assumptions!$B$56,"RED",IF(E6&gt;=Global_Assumptions!$B$55,"AMBER","OK"))</f>
        <v/>
      </c>
      <c r="G6" s="51" t="inlineStr">
        <is>
          <t>Seal/diaphragm compatibility</t>
        </is>
      </c>
    </row>
    <row r="7" ht="15" customHeight="1" s="45">
      <c r="A7" s="51" t="inlineStr">
        <is>
          <t>Meter</t>
        </is>
      </c>
      <c r="B7" s="52" t="n">
        <v>1</v>
      </c>
      <c r="C7" s="51" t="inlineStr">
        <is>
          <t>NGRMS MTTF (instrument)</t>
        </is>
      </c>
      <c r="D7" s="80">
        <f>1-EXP(-SUMIF(Failure_Rates!$A$4:$A$15,A7,Failure_Rates!$D$4:$D$15)*8760*Global_Assumptions!$B$52)</f>
        <v/>
      </c>
      <c r="E7" s="80">
        <f>1-EXP(-SUMIF(Failure_Rates!$A$4:$A$15,A7,Failure_Rates!$F$4:$F$15)*8760*Global_Assumptions!$B$52)</f>
        <v/>
      </c>
      <c r="F7" s="51">
        <f>IF(E7&gt;=Global_Assumptions!$B$56,"RED",IF(E7&gt;=Global_Assumptions!$B$55,"AMBER","OK"))</f>
        <v/>
      </c>
      <c r="G7" s="51" t="inlineStr">
        <is>
          <t>Gas-property change affects calibration</t>
        </is>
      </c>
    </row>
    <row r="8" ht="15" customHeight="1" s="45">
      <c r="A8" s="51" t="inlineStr">
        <is>
          <t>Buffer Storage</t>
        </is>
      </c>
      <c r="B8" s="52" t="n">
        <v>1</v>
      </c>
      <c r="C8" s="51" t="inlineStr">
        <is>
          <t>Screening PoF (vessel)</t>
        </is>
      </c>
      <c r="D8" s="57" t="n">
        <v>0.05</v>
      </c>
      <c r="E8" s="57" t="n">
        <v>0.07000000000000001</v>
      </c>
      <c r="F8" s="51">
        <f>IF(E8&gt;=Global_Assumptions!$B$56,"RED",IF(E8&gt;=Global_Assumptions!$B$55,"AMBER","OK"))</f>
        <v/>
      </c>
      <c r="G8" s="51" t="inlineStr">
        <is>
          <t>Permeation; embrittlement of liner</t>
        </is>
      </c>
    </row>
    <row r="9" ht="15" customHeight="1" s="45">
      <c r="A9" s="51" t="inlineStr">
        <is>
          <t>Capstone C200 Microturbine</t>
        </is>
      </c>
      <c r="B9" s="52" t="n">
        <v>1</v>
      </c>
      <c r="C9" s="51" t="inlineStr">
        <is>
          <t>Screening PoF (recuperated)</t>
        </is>
      </c>
      <c r="D9" s="57" t="n">
        <v>0.79</v>
      </c>
      <c r="E9" s="57" t="n">
        <v>0.79</v>
      </c>
      <c r="F9" s="51">
        <f>IF(E9&gt;=Global_Assumptions!$B$56,"RED",IF(E9&gt;=Global_Assumptions!$B$55,"AMBER","OK"))</f>
        <v/>
      </c>
      <c r="G9" s="51" t="inlineStr">
        <is>
          <t>Flashback; injector wear</t>
        </is>
      </c>
    </row>
    <row r="10" ht="15" customHeight="1" s="45">
      <c r="A10" s="51" t="inlineStr">
        <is>
          <t>Recuperator Heat Exchanger</t>
        </is>
      </c>
      <c r="B10" s="52" t="n">
        <v>1</v>
      </c>
      <c r="C10" s="51" t="inlineStr">
        <is>
          <t>UCI heat_exchanger BN (100k MC)</t>
        </is>
      </c>
      <c r="D10" s="57" t="n">
        <v>0.7205</v>
      </c>
      <c r="E10" s="57" t="n">
        <v>0.7406</v>
      </c>
      <c r="F10" s="51">
        <f>IF(E10&gt;=Global_Assumptions!$B$56,"RED",IF(E10&gt;=Global_Assumptions!$B$55,"AMBER","OK"))</f>
        <v/>
      </c>
      <c r="G10" s="51" t="inlineStr">
        <is>
          <t>H2 permeation / HTHA screening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44" min="1" max="1"/>
    <col width="30" customWidth="1" style="44" min="2" max="2"/>
    <col width="22" customWidth="1" style="44" min="3" max="3"/>
    <col width="18" customWidth="1" style="44" min="4" max="5"/>
  </cols>
  <sheetData>
    <row r="1" ht="15.75" customHeight="1" s="45">
      <c r="A1" s="46" t="inlineStr">
        <is>
          <t>INSPECTION &amp; MAINTENANCE PLAN (common-pipe unit costs harmonized)</t>
        </is>
      </c>
    </row>
    <row r="2" ht="15" customHeight="1" s="45">
      <c r="A2" s="47" t="inlineStr">
        <is>
          <t>Pipe inspection unit costs come from Global_Assumptions (normal vs purpose-built), identical across cases.</t>
        </is>
      </c>
    </row>
    <row r="3" ht="15" customHeight="1" s="45">
      <c r="A3" s="55" t="inlineStr">
        <is>
          <t>Component</t>
        </is>
      </c>
      <c r="B3" s="55" t="inlineStr">
        <is>
          <t>Inspection (type &amp; frequency)</t>
        </is>
      </c>
      <c r="C3" s="55" t="inlineStr">
        <is>
          <t>Maintenance</t>
        </is>
      </c>
      <c r="D3" s="55" t="inlineStr">
        <is>
          <t>Unit cost basis</t>
        </is>
      </c>
      <c r="E3" s="55" t="inlineStr">
        <is>
          <t>Annual cost ($)</t>
        </is>
      </c>
    </row>
    <row r="4" ht="23.25" customHeight="1" s="45">
      <c r="A4" s="50" t="inlineStr">
        <is>
          <t>Delivery Lateral Pipe</t>
        </is>
      </c>
      <c r="B4" s="49" t="inlineStr">
        <is>
          <t>Patrol + ILI (&gt;=1/7yr); leak survey</t>
        </is>
      </c>
      <c r="C4" s="49" t="inlineStr">
        <is>
          <t>Condition-based (clamp/sleeve/replace)</t>
        </is>
      </c>
      <c r="D4" s="53">
        <f>"$"&amp;TEXT(Global_Assumptions!$B$58,"#,##0")&amp;"/mi (normal)"</f>
        <v/>
      </c>
      <c r="E4" s="82">
        <f>Global_Assumptions!$B$58*1</f>
        <v/>
      </c>
    </row>
    <row r="5" ht="23.25" customHeight="1" s="45">
      <c r="A5" s="50" t="inlineStr">
        <is>
          <t>Injection/Isolation Valve</t>
        </is>
      </c>
      <c r="B5" s="49" t="inlineStr">
        <is>
          <t>Functional/leak test &gt;=1/yr</t>
        </is>
      </c>
      <c r="C5" s="49" t="inlineStr">
        <is>
          <t>Lubricate; reseat; replace seals</t>
        </is>
      </c>
      <c r="D5" s="58" t="inlineStr">
        <is>
          <t>component-scale (vendor)</t>
        </is>
      </c>
      <c r="E5" s="62" t="n">
        <v>15000</v>
      </c>
    </row>
    <row r="6" ht="23.25" customHeight="1" s="45">
      <c r="A6" s="50" t="inlineStr">
        <is>
          <t>Pressure Regulator</t>
        </is>
      </c>
      <c r="B6" s="49" t="inlineStr">
        <is>
          <t>Visual monthly; functional 2/yr</t>
        </is>
      </c>
      <c r="C6" s="49" t="inlineStr">
        <is>
          <t>Pilot adjust; preventive 2/yr</t>
        </is>
      </c>
      <c r="D6" s="58" t="inlineStr">
        <is>
          <t>component-scale (vendor)</t>
        </is>
      </c>
      <c r="E6" s="62" t="n">
        <v>4000</v>
      </c>
    </row>
    <row r="7" ht="15" customHeight="1" s="45">
      <c r="A7" s="50" t="inlineStr">
        <is>
          <t>Meter</t>
        </is>
      </c>
      <c r="B7" s="49" t="inlineStr">
        <is>
          <t>Continuous remote monitoring</t>
        </is>
      </c>
      <c r="C7" s="49" t="inlineStr">
        <is>
          <t>Calibration/recalibration</t>
        </is>
      </c>
      <c r="D7" s="58" t="inlineStr">
        <is>
          <t>component-scale (vendor)</t>
        </is>
      </c>
      <c r="E7" s="62" t="n">
        <v>3000</v>
      </c>
    </row>
    <row r="8" ht="23.25" customHeight="1" s="45">
      <c r="A8" s="50" t="inlineStr">
        <is>
          <t>Buffer Storage</t>
        </is>
      </c>
      <c r="B8" s="49" t="inlineStr">
        <is>
          <t>Visual + relief-valve test</t>
        </is>
      </c>
      <c r="C8" s="49" t="inlineStr">
        <is>
          <t>Pressure-vessel inspection</t>
        </is>
      </c>
      <c r="D8" s="58" t="inlineStr">
        <is>
          <t>component-scale (vendor)</t>
        </is>
      </c>
      <c r="E8" s="62" t="n">
        <v>8000</v>
      </c>
    </row>
    <row r="9" ht="23.25" customHeight="1" s="45">
      <c r="A9" s="50" t="inlineStr">
        <is>
          <t>Capstone C200 Microturbine</t>
        </is>
      </c>
      <c r="B9" s="49" t="inlineStr">
        <is>
          <t>OEM service 1/yr</t>
        </is>
      </c>
      <c r="C9" s="49" t="inlineStr">
        <is>
          <t>Injector + recuperator service</t>
        </is>
      </c>
      <c r="D9" s="58" t="inlineStr">
        <is>
          <t>component-scale (vendor)</t>
        </is>
      </c>
      <c r="E9" s="62" t="n">
        <v>53000</v>
      </c>
    </row>
    <row r="10" ht="15" customHeight="1" s="45">
      <c r="A10" s="50" t="inlineStr">
        <is>
          <t>Recuperator Heat Exchanger</t>
        </is>
      </c>
      <c r="B10" s="49" t="inlineStr">
        <is>
          <t>Tube inspection + leak test</t>
        </is>
      </c>
      <c r="C10" s="49" t="inlineStr">
        <is>
          <t>Clean / re-tube</t>
        </is>
      </c>
      <c r="D10" s="58" t="inlineStr">
        <is>
          <t>component-scale (vendor)</t>
        </is>
      </c>
      <c r="E10" s="62" t="n">
        <v>44000</v>
      </c>
    </row>
    <row r="12" ht="15" customHeight="1" s="45">
      <c r="A12" s="83" t="inlineStr">
        <is>
          <t>Inspection scenario (per mile)</t>
        </is>
      </c>
    </row>
    <row r="13" ht="15" customHeight="1" s="45">
      <c r="A13" s="55" t="inlineStr">
        <is>
          <t>Scenario</t>
        </is>
      </c>
      <c r="B13" s="55" t="inlineStr">
        <is>
          <t>$/mile/yr</t>
        </is>
      </c>
      <c r="C13" s="55" t="n"/>
      <c r="D13" s="55" t="n"/>
    </row>
    <row r="14" ht="15" customHeight="1" s="45">
      <c r="A14" s="51" t="inlineStr">
        <is>
          <t>Normal (existing) pipeline</t>
        </is>
      </c>
      <c r="B14" s="84">
        <f>Global_Assumptions!$B$58</f>
        <v/>
      </c>
    </row>
    <row r="15" ht="15" customHeight="1" s="45">
      <c r="A15" s="51" t="inlineStr">
        <is>
          <t>Purpose-built (less frequent)</t>
        </is>
      </c>
      <c r="B15" s="84">
        <f>Global_Assumptions!$B$59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44" min="1" max="1"/>
    <col width="14" customWidth="1" style="44" min="2" max="2"/>
    <col width="12" customWidth="1" style="44" min="3" max="4"/>
    <col width="10" customWidth="1" style="44" min="5" max="5"/>
    <col width="16" customWidth="1" style="44" min="6" max="8"/>
  </cols>
  <sheetData>
    <row r="1" ht="15.75" customHeight="1" s="45">
      <c r="A1" s="46" t="inlineStr">
        <is>
          <t>BLEND PROPERTIES &amp; H2 DEMAND — UCI Microturbine</t>
        </is>
      </c>
    </row>
    <row r="2" ht="15" customHeight="1" s="45">
      <c r="A2" s="47" t="inlineStr">
        <is>
          <t>Energy fraction E=v·k/(v·k+1−v); flow factor=1/((1−v)+v·k); demand=fuel·E/gj_kg. k, gj_kg from Global.</t>
        </is>
      </c>
    </row>
    <row r="3" ht="15" customHeight="1" s="45">
      <c r="A3" s="51" t="inlineStr">
        <is>
          <t>Baseline fuel energy (GJ/yr)</t>
        </is>
      </c>
      <c r="B3" s="59" t="n">
        <v>14100</v>
      </c>
    </row>
    <row r="4" ht="15" customHeight="1" s="45">
      <c r="A4" s="51" t="inlineStr">
        <is>
          <t>Baseline fossil CO2 (t/yr)</t>
        </is>
      </c>
      <c r="B4" s="79">
        <f>B3*0.0561</f>
        <v/>
      </c>
    </row>
    <row r="5" ht="23.25" customHeight="1" s="45">
      <c r="A5" s="55" t="inlineStr">
        <is>
          <t>Blend % (vol)</t>
        </is>
      </c>
      <c r="B5" s="55" t="inlineStr">
        <is>
          <t>H2 energy frac</t>
        </is>
      </c>
      <c r="C5" s="55" t="inlineStr">
        <is>
          <t>Flow factor</t>
        </is>
      </c>
      <c r="D5" s="55" t="inlineStr">
        <is>
          <t>FCGR mult</t>
        </is>
      </c>
      <c r="E5" s="55" t="inlineStr">
        <is>
          <t>kg basis</t>
        </is>
      </c>
      <c r="F5" s="55" t="inlineStr">
        <is>
          <t>H2 demand (kg/yr)</t>
        </is>
      </c>
      <c r="G5" s="55" t="inlineStr">
        <is>
          <t>CO2 avoided (t/yr)</t>
        </is>
      </c>
      <c r="H5" s="55" t="inlineStr">
        <is>
          <t>Residual CO2 (t/yr)</t>
        </is>
      </c>
    </row>
    <row r="6" ht="15" customHeight="1" s="45">
      <c r="A6" s="52" t="n">
        <v>0</v>
      </c>
      <c r="B6" s="80">
        <f>((A6/100)*Global_Assumptions!$B$26)/(((A6/100)*Global_Assumptions!$B$26)+(1-(A6/100)))</f>
        <v/>
      </c>
      <c r="C6" s="80">
        <f>1/((1-(A6/100))+(A6/100)*Global_Assumptions!$B$26)</f>
        <v/>
      </c>
      <c r="D6" s="51">
        <f>VLOOKUP(A6,Global_Assumptions!$A$72:$B$79,2,FALSE())</f>
        <v/>
      </c>
      <c r="E6" s="85" t="n"/>
      <c r="F6" s="79">
        <f>$B$3*B6/Global_Assumptions!$B$25</f>
        <v/>
      </c>
      <c r="G6" s="79">
        <f>$B$4*B6</f>
        <v/>
      </c>
      <c r="H6" s="79">
        <f>$B$4*(1-B6)</f>
        <v/>
      </c>
    </row>
    <row r="7" ht="15" customHeight="1" s="45">
      <c r="A7" s="52" t="n">
        <v>5</v>
      </c>
      <c r="B7" s="80">
        <f>((A7/100)*Global_Assumptions!$B$26)/(((A7/100)*Global_Assumptions!$B$26)+(1-(A7/100)))</f>
        <v/>
      </c>
      <c r="C7" s="80">
        <f>1/((1-(A7/100))+(A7/100)*Global_Assumptions!$B$26)</f>
        <v/>
      </c>
      <c r="D7" s="51">
        <f>VLOOKUP(A7,Global_Assumptions!$A$72:$B$79,2,FALSE())</f>
        <v/>
      </c>
      <c r="E7" s="85" t="n"/>
      <c r="F7" s="79">
        <f>$B$3*B7/Global_Assumptions!$B$25</f>
        <v/>
      </c>
      <c r="G7" s="79">
        <f>$B$4*B7</f>
        <v/>
      </c>
      <c r="H7" s="79">
        <f>$B$4*(1-B7)</f>
        <v/>
      </c>
    </row>
    <row r="8" ht="15" customHeight="1" s="45">
      <c r="A8" s="52" t="n">
        <v>10</v>
      </c>
      <c r="B8" s="80">
        <f>((A8/100)*Global_Assumptions!$B$26)/(((A8/100)*Global_Assumptions!$B$26)+(1-(A8/100)))</f>
        <v/>
      </c>
      <c r="C8" s="80">
        <f>1/((1-(A8/100))+(A8/100)*Global_Assumptions!$B$26)</f>
        <v/>
      </c>
      <c r="D8" s="51">
        <f>VLOOKUP(A8,Global_Assumptions!$A$72:$B$79,2,FALSE())</f>
        <v/>
      </c>
      <c r="E8" s="85" t="n"/>
      <c r="F8" s="79">
        <f>$B$3*B8/Global_Assumptions!$B$25</f>
        <v/>
      </c>
      <c r="G8" s="79">
        <f>$B$4*B8</f>
        <v/>
      </c>
      <c r="H8" s="79">
        <f>$B$4*(1-B8)</f>
        <v/>
      </c>
    </row>
    <row r="9" ht="15" customHeight="1" s="45">
      <c r="A9" s="52" t="n">
        <v>20</v>
      </c>
      <c r="B9" s="80">
        <f>((A9/100)*Global_Assumptions!$B$26)/(((A9/100)*Global_Assumptions!$B$26)+(1-(A9/100)))</f>
        <v/>
      </c>
      <c r="C9" s="80">
        <f>1/((1-(A9/100))+(A9/100)*Global_Assumptions!$B$26)</f>
        <v/>
      </c>
      <c r="D9" s="51">
        <f>VLOOKUP(A9,Global_Assumptions!$A$72:$B$79,2,FALSE())</f>
        <v/>
      </c>
      <c r="E9" s="85" t="n"/>
      <c r="F9" s="79">
        <f>$B$3*B9/Global_Assumptions!$B$25</f>
        <v/>
      </c>
      <c r="G9" s="79">
        <f>$B$4*B9</f>
        <v/>
      </c>
      <c r="H9" s="79">
        <f>$B$4*(1-B9)</f>
        <v/>
      </c>
    </row>
    <row r="10" ht="15" customHeight="1" s="45">
      <c r="A10" s="52" t="n">
        <v>30</v>
      </c>
      <c r="B10" s="80">
        <f>((A10/100)*Global_Assumptions!$B$26)/(((A10/100)*Global_Assumptions!$B$26)+(1-(A10/100)))</f>
        <v/>
      </c>
      <c r="C10" s="80">
        <f>1/((1-(A10/100))+(A10/100)*Global_Assumptions!$B$26)</f>
        <v/>
      </c>
      <c r="D10" s="51">
        <f>VLOOKUP(A10,Global_Assumptions!$A$72:$B$79,2,FALSE())</f>
        <v/>
      </c>
      <c r="E10" s="85" t="n"/>
      <c r="F10" s="79">
        <f>$B$3*B10/Global_Assumptions!$B$25</f>
        <v/>
      </c>
      <c r="G10" s="79">
        <f>$B$4*B10</f>
        <v/>
      </c>
      <c r="H10" s="79">
        <f>$B$4*(1-B10)</f>
        <v/>
      </c>
    </row>
    <row r="11" ht="15" customHeight="1" s="45">
      <c r="A11" s="52" t="n">
        <v>50</v>
      </c>
      <c r="B11" s="80">
        <f>((A11/100)*Global_Assumptions!$B$26)/(((A11/100)*Global_Assumptions!$B$26)+(1-(A11/100)))</f>
        <v/>
      </c>
      <c r="C11" s="80">
        <f>1/((1-(A11/100))+(A11/100)*Global_Assumptions!$B$26)</f>
        <v/>
      </c>
      <c r="D11" s="51">
        <f>VLOOKUP(A11,Global_Assumptions!$A$72:$B$79,2,FALSE())</f>
        <v/>
      </c>
      <c r="E11" s="85" t="n"/>
      <c r="F11" s="79">
        <f>$B$3*B11/Global_Assumptions!$B$25</f>
        <v/>
      </c>
      <c r="G11" s="79">
        <f>$B$4*B11</f>
        <v/>
      </c>
      <c r="H11" s="79">
        <f>$B$4*(1-B11)</f>
        <v/>
      </c>
    </row>
    <row r="12" ht="15" customHeight="1" s="45">
      <c r="A12" s="52" t="n">
        <v>75</v>
      </c>
      <c r="B12" s="80">
        <f>((A12/100)*Global_Assumptions!$B$26)/(((A12/100)*Global_Assumptions!$B$26)+(1-(A12/100)))</f>
        <v/>
      </c>
      <c r="C12" s="80">
        <f>1/((1-(A12/100))+(A12/100)*Global_Assumptions!$B$26)</f>
        <v/>
      </c>
      <c r="D12" s="51">
        <f>VLOOKUP(A12,Global_Assumptions!$A$72:$B$79,2,FALSE())</f>
        <v/>
      </c>
      <c r="E12" s="85" t="n"/>
      <c r="F12" s="79">
        <f>$B$3*B12/Global_Assumptions!$B$25</f>
        <v/>
      </c>
      <c r="G12" s="79">
        <f>$B$4*B12</f>
        <v/>
      </c>
      <c r="H12" s="79">
        <f>$B$4*(1-B12)</f>
        <v/>
      </c>
    </row>
    <row r="13" ht="15" customHeight="1" s="45">
      <c r="A13" s="52" t="n">
        <v>100</v>
      </c>
      <c r="B13" s="80">
        <f>((A13/100)*Global_Assumptions!$B$26)/(((A13/100)*Global_Assumptions!$B$26)+(1-(A13/100)))</f>
        <v/>
      </c>
      <c r="C13" s="80">
        <f>1/((1-(A13/100))+(A13/100)*Global_Assumptions!$B$26)</f>
        <v/>
      </c>
      <c r="D13" s="51">
        <f>VLOOKUP(A13,Global_Assumptions!$A$72:$B$79,2,FALSE())</f>
        <v/>
      </c>
      <c r="E13" s="85" t="n"/>
      <c r="F13" s="79">
        <f>$B$3*B13/Global_Assumptions!$B$25</f>
        <v/>
      </c>
      <c r="G13" s="79">
        <f>$B$4*B13</f>
        <v/>
      </c>
      <c r="H13" s="79">
        <f>$B$4*(1-B13)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44" min="1" max="1"/>
    <col width="16" customWidth="1" style="44" min="2" max="2"/>
    <col width="18" customWidth="1" style="44" min="3" max="3"/>
    <col width="30" customWidth="1" style="44" min="4" max="4"/>
  </cols>
  <sheetData>
    <row r="1" ht="15.75" customHeight="1" s="45">
      <c r="A1" s="46" t="inlineStr">
        <is>
          <t>CAPEX MODEL — UCI Microturbine</t>
        </is>
      </c>
    </row>
    <row r="2" ht="15" customHeight="1" s="45">
      <c r="A2" s="47" t="inlineStr">
        <is>
          <t>Unit costs from Global_Assumptions. Pipe length is system length (transmission) or lateral distance (end-use).</t>
        </is>
      </c>
    </row>
    <row r="3" ht="15" customHeight="1" s="45">
      <c r="A3" s="55" t="inlineStr">
        <is>
          <t>Pipeline option</t>
        </is>
      </c>
      <c r="B3" s="55" t="inlineStr">
        <is>
          <t>$/mile</t>
        </is>
      </c>
      <c r="C3" s="55" t="inlineStr">
        <is>
          <t>Total ($)</t>
        </is>
      </c>
      <c r="D3" s="55" t="inlineStr">
        <is>
          <t>Basis</t>
        </is>
      </c>
    </row>
    <row r="4" ht="15" customHeight="1" s="45">
      <c r="A4" s="51" t="inlineStr">
        <is>
          <t>New purpose-built</t>
        </is>
      </c>
      <c r="B4" s="82">
        <f>Global_Assumptions!$B$44*Global_Assumptions!$B$46*1000000</f>
        <v/>
      </c>
      <c r="C4" s="82">
        <f>B4*1</f>
        <v/>
      </c>
      <c r="D4" s="51" t="inlineStr">
        <is>
          <t>new_pipe×premium [P3][R5]</t>
        </is>
      </c>
    </row>
    <row r="5" ht="15" customHeight="1" s="45">
      <c r="A5" s="51" t="inlineStr">
        <is>
          <t>Repurposed (retrofit)</t>
        </is>
      </c>
      <c r="B5" s="82">
        <f>Global_Assumptions!$B$44*Global_Assumptions!$B$45*1000000</f>
        <v/>
      </c>
      <c r="C5" s="82">
        <f>B5*1</f>
        <v/>
      </c>
      <c r="D5" s="51" t="inlineStr">
        <is>
          <t>new_pipe×retrofit_factor [P3]</t>
        </is>
      </c>
    </row>
    <row r="7" ht="15" customHeight="1" s="45">
      <c r="A7" s="83" t="inlineStr">
        <is>
          <t>Injection / compression / storage</t>
        </is>
      </c>
    </row>
    <row r="8" ht="15" customHeight="1" s="45">
      <c r="A8" s="55" t="inlineStr">
        <is>
          <t>Item</t>
        </is>
      </c>
      <c r="B8" s="55" t="inlineStr">
        <is>
          <t>Value</t>
        </is>
      </c>
      <c r="C8" s="55" t="inlineStr">
        <is>
          <t>Unit</t>
        </is>
      </c>
      <c r="D8" s="55" t="inlineStr">
        <is>
          <t>Basis</t>
        </is>
      </c>
    </row>
    <row r="9" ht="15" customHeight="1" s="45">
      <c r="A9" s="51" t="inlineStr">
        <is>
          <t>Injection+metering+control skid</t>
        </is>
      </c>
      <c r="B9" s="82">
        <f>Global_Assumptions!$B$47*1000000</f>
        <v/>
      </c>
      <c r="C9" s="51" t="inlineStr">
        <is>
          <t>$</t>
        </is>
      </c>
      <c r="D9" s="51" t="inlineStr">
        <is>
          <t>[P2]</t>
        </is>
      </c>
    </row>
    <row r="10" ht="15" customHeight="1" s="45">
      <c r="A10" s="51" t="inlineStr">
        <is>
          <t>Storage (buffer)</t>
        </is>
      </c>
      <c r="B10" s="82">
        <f>Blend_Properties!$F$13/365*Global_Assumptions!$B$49*Global_Assumptions!$B$48</f>
        <v/>
      </c>
      <c r="C10" s="51" t="inlineStr">
        <is>
          <t>$ @100% demand</t>
        </is>
      </c>
      <c r="D10" s="51" t="inlineStr">
        <is>
          <t>storage_days×kg [P2]</t>
        </is>
      </c>
    </row>
    <row r="11" ht="15" customHeight="1" s="45">
      <c r="A11" s="51" t="inlineStr">
        <is>
          <t>Compressor unit CAPEX</t>
        </is>
      </c>
      <c r="B11" s="62" t="n">
        <v>0</v>
      </c>
      <c r="C11" s="51" t="inlineStr">
        <is>
          <t>$/unit @100%</t>
        </is>
      </c>
      <c r="D11" s="51" t="inlineStr">
        <is>
          <t>comp_capex×MW</t>
        </is>
      </c>
    </row>
    <row r="13" ht="15" customHeight="1" s="45">
      <c r="A13" s="83" t="inlineStr">
        <is>
          <t>CCS &amp; NCD (carbon)</t>
        </is>
      </c>
    </row>
    <row r="14" ht="15" customHeight="1" s="45">
      <c r="A14" s="55" t="inlineStr">
        <is>
          <t>Item</t>
        </is>
      </c>
      <c r="B14" s="55" t="inlineStr">
        <is>
          <t>$/tCO2</t>
        </is>
      </c>
      <c r="C14" s="55" t="n"/>
      <c r="D14" s="55" t="n"/>
    </row>
    <row r="15" ht="15" customHeight="1" s="45">
      <c r="A15" s="51" t="inlineStr">
        <is>
          <t>CCS industrial</t>
        </is>
      </c>
      <c r="B15" s="84">
        <f>Global_Assumptions!$B$32</f>
        <v/>
      </c>
    </row>
    <row r="16" ht="15" customHeight="1" s="45">
      <c r="A16" s="51" t="inlineStr">
        <is>
          <t>CCS power generation</t>
        </is>
      </c>
      <c r="B16" s="84">
        <f>Global_Assumptions!$B$33</f>
        <v/>
      </c>
    </row>
    <row r="17" ht="15" customHeight="1" s="45">
      <c r="A17" s="51" t="inlineStr">
        <is>
          <t>CCS DAC</t>
        </is>
      </c>
      <c r="B17" s="84">
        <f>Global_Assumptions!$B$34</f>
        <v/>
      </c>
    </row>
    <row r="18" ht="15" customHeight="1" s="45">
      <c r="A18" s="51" t="inlineStr">
        <is>
          <t>NCD base / slope</t>
        </is>
      </c>
      <c r="B18" s="51">
        <f>Global_Assumptions!$B$35&amp;" / "&amp;Global_Assumptions!$B$36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F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44" min="1" max="1"/>
    <col width="14" customWidth="1" style="44" min="2" max="2"/>
    <col width="16" customWidth="1" style="44" min="3" max="3"/>
    <col width="18" customWidth="1" style="44" min="4" max="5"/>
    <col width="16" customWidth="1" style="44" min="6" max="6"/>
  </cols>
  <sheetData>
    <row r="1" ht="15.75" customHeight="1" s="45">
      <c r="A1" s="46" t="inlineStr">
        <is>
          <t>HYDRAULICS &amp; COMPRESSOR COUNT — UCI Microturbine</t>
        </is>
      </c>
    </row>
    <row r="2" ht="15" customHeight="1" s="45">
      <c r="A2" s="47" t="inlineStr">
        <is>
          <t>N_comp = MAX(1, CEILING(distance/spacing × flow_factor)). Spacing from Global_Assumptions.</t>
        </is>
      </c>
    </row>
    <row r="3" ht="15" customHeight="1" s="45">
      <c r="A3" s="51" t="inlineStr">
        <is>
          <t>Near distance (mi)</t>
        </is>
      </c>
      <c r="B3" s="52" t="n">
        <v>1</v>
      </c>
      <c r="D3" s="51" t="inlineStr">
        <is>
          <t>Far distance (mi)</t>
        </is>
      </c>
      <c r="E3" s="52" t="n">
        <v>100</v>
      </c>
    </row>
    <row r="4" ht="23.25" customHeight="1" s="45">
      <c r="A4" s="55" t="inlineStr">
        <is>
          <t>Blend %</t>
        </is>
      </c>
      <c r="B4" s="55" t="inlineStr">
        <is>
          <t>Flow factor</t>
        </is>
      </c>
      <c r="C4" s="55" t="inlineStr">
        <is>
          <t>Compressors near</t>
        </is>
      </c>
      <c r="D4" s="55" t="inlineStr">
        <is>
          <t>Compressors far</t>
        </is>
      </c>
      <c r="E4" s="55" t="inlineStr">
        <is>
          <t>Comp power near (MW)</t>
        </is>
      </c>
      <c r="F4" s="55" t="inlineStr">
        <is>
          <t>Comp energy (kWh/kg)</t>
        </is>
      </c>
    </row>
    <row r="5" ht="15" customHeight="1" s="45">
      <c r="A5" s="52" t="n">
        <v>0</v>
      </c>
      <c r="B5" s="81">
        <f>Blend_Properties!$C$6</f>
        <v/>
      </c>
      <c r="C5" s="79">
        <f>MAX(1,CEILING($B$3/Global_Assumptions!$B$42*B5,1))</f>
        <v/>
      </c>
      <c r="D5" s="79">
        <f>MAX(1,CEILING($E$3/Global_Assumptions!$B$42*B5,1))</f>
        <v/>
      </c>
      <c r="E5" s="80">
        <f>Blend_Properties!$F$6*Global_Assumptions!$B$38/8760/1000</f>
        <v/>
      </c>
      <c r="F5" s="74">
        <f>Global_Assumptions!$B$38</f>
        <v/>
      </c>
    </row>
    <row r="6" ht="15" customHeight="1" s="45">
      <c r="A6" s="52" t="n">
        <v>5</v>
      </c>
      <c r="B6" s="81">
        <f>Blend_Properties!$C$7</f>
        <v/>
      </c>
      <c r="C6" s="79">
        <f>MAX(1,CEILING($B$3/Global_Assumptions!$B$42*B6,1))</f>
        <v/>
      </c>
      <c r="D6" s="79">
        <f>MAX(1,CEILING($E$3/Global_Assumptions!$B$42*B6,1))</f>
        <v/>
      </c>
      <c r="E6" s="80">
        <f>Blend_Properties!$F$7*Global_Assumptions!$B$38/8760/1000</f>
        <v/>
      </c>
      <c r="F6" s="74">
        <f>Global_Assumptions!$B$38</f>
        <v/>
      </c>
    </row>
    <row r="7" ht="15" customHeight="1" s="45">
      <c r="A7" s="52" t="n">
        <v>10</v>
      </c>
      <c r="B7" s="81">
        <f>Blend_Properties!$C$8</f>
        <v/>
      </c>
      <c r="C7" s="79">
        <f>MAX(1,CEILING($B$3/Global_Assumptions!$B$42*B7,1))</f>
        <v/>
      </c>
      <c r="D7" s="79">
        <f>MAX(1,CEILING($E$3/Global_Assumptions!$B$42*B7,1))</f>
        <v/>
      </c>
      <c r="E7" s="80">
        <f>Blend_Properties!$F$8*Global_Assumptions!$B$38/8760/1000</f>
        <v/>
      </c>
      <c r="F7" s="74">
        <f>Global_Assumptions!$B$38</f>
        <v/>
      </c>
    </row>
    <row r="8" ht="15" customHeight="1" s="45">
      <c r="A8" s="52" t="n">
        <v>20</v>
      </c>
      <c r="B8" s="81">
        <f>Blend_Properties!$C$9</f>
        <v/>
      </c>
      <c r="C8" s="79">
        <f>MAX(1,CEILING($B$3/Global_Assumptions!$B$42*B8,1))</f>
        <v/>
      </c>
      <c r="D8" s="79">
        <f>MAX(1,CEILING($E$3/Global_Assumptions!$B$42*B8,1))</f>
        <v/>
      </c>
      <c r="E8" s="80">
        <f>Blend_Properties!$F$9*Global_Assumptions!$B$38/8760/1000</f>
        <v/>
      </c>
      <c r="F8" s="74">
        <f>Global_Assumptions!$B$38</f>
        <v/>
      </c>
    </row>
    <row r="9" ht="15" customHeight="1" s="45">
      <c r="A9" s="52" t="n">
        <v>30</v>
      </c>
      <c r="B9" s="81">
        <f>Blend_Properties!$C$10</f>
        <v/>
      </c>
      <c r="C9" s="79">
        <f>MAX(1,CEILING($B$3/Global_Assumptions!$B$42*B9,1))</f>
        <v/>
      </c>
      <c r="D9" s="79">
        <f>MAX(1,CEILING($E$3/Global_Assumptions!$B$42*B9,1))</f>
        <v/>
      </c>
      <c r="E9" s="80">
        <f>Blend_Properties!$F$10*Global_Assumptions!$B$38/8760/1000</f>
        <v/>
      </c>
      <c r="F9" s="74">
        <f>Global_Assumptions!$B$38</f>
        <v/>
      </c>
    </row>
    <row r="10" ht="15" customHeight="1" s="45">
      <c r="A10" s="52" t="n">
        <v>50</v>
      </c>
      <c r="B10" s="81">
        <f>Blend_Properties!$C$11</f>
        <v/>
      </c>
      <c r="C10" s="79">
        <f>MAX(1,CEILING($B$3/Global_Assumptions!$B$42*B10,1))</f>
        <v/>
      </c>
      <c r="D10" s="79">
        <f>MAX(1,CEILING($E$3/Global_Assumptions!$B$42*B10,1))</f>
        <v/>
      </c>
      <c r="E10" s="80">
        <f>Blend_Properties!$F$11*Global_Assumptions!$B$38/8760/1000</f>
        <v/>
      </c>
      <c r="F10" s="74">
        <f>Global_Assumptions!$B$38</f>
        <v/>
      </c>
    </row>
    <row r="11" ht="15" customHeight="1" s="45">
      <c r="A11" s="52" t="n">
        <v>75</v>
      </c>
      <c r="B11" s="81">
        <f>Blend_Properties!$C$12</f>
        <v/>
      </c>
      <c r="C11" s="79">
        <f>MAX(1,CEILING($B$3/Global_Assumptions!$B$42*B11,1))</f>
        <v/>
      </c>
      <c r="D11" s="79">
        <f>MAX(1,CEILING($E$3/Global_Assumptions!$B$42*B11,1))</f>
        <v/>
      </c>
      <c r="E11" s="80">
        <f>Blend_Properties!$F$12*Global_Assumptions!$B$38/8760/1000</f>
        <v/>
      </c>
      <c r="F11" s="74">
        <f>Global_Assumptions!$B$38</f>
        <v/>
      </c>
    </row>
    <row r="12" ht="15" customHeight="1" s="45">
      <c r="A12" s="52" t="n">
        <v>100</v>
      </c>
      <c r="B12" s="81">
        <f>Blend_Properties!$C$13</f>
        <v/>
      </c>
      <c r="C12" s="79">
        <f>MAX(1,CEILING($B$3/Global_Assumptions!$B$42*B12,1))</f>
        <v/>
      </c>
      <c r="D12" s="79">
        <f>MAX(1,CEILING($E$3/Global_Assumptions!$B$42*B12,1))</f>
        <v/>
      </c>
      <c r="E12" s="80">
        <f>Blend_Properties!$F$13*Global_Assumptions!$B$38/8760/1000</f>
        <v/>
      </c>
      <c r="F12" s="74">
        <f>Global_Assumptions!$B$38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G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44" min="1" max="1"/>
    <col width="16" customWidth="1" style="44" min="2" max="5"/>
    <col width="18" customWidth="1" style="44" min="6" max="6"/>
    <col width="16" customWidth="1" style="44" min="7" max="7"/>
  </cols>
  <sheetData>
    <row r="1" ht="15.75" customHeight="1" s="45">
      <c r="A1" s="46" t="inlineStr">
        <is>
          <t>OPEX &amp; TECHNICAL PERFORMANCE — UCI Microturbine</t>
        </is>
      </c>
    </row>
    <row r="2" ht="15" customHeight="1" s="45">
      <c r="A2" s="47" t="inlineStr">
        <is>
          <t>Energy fraction, flow factor &amp; demand from Blend_Properties; inspection from Global I&amp;M unit cost × miles.</t>
        </is>
      </c>
    </row>
    <row r="3" ht="23.25" customHeight="1" s="45">
      <c r="A3" s="55" t="inlineStr">
        <is>
          <t>Blend %</t>
        </is>
      </c>
      <c r="B3" s="55" t="inlineStr">
        <is>
          <t>Energy frac</t>
        </is>
      </c>
      <c r="C3" s="55" t="inlineStr">
        <is>
          <t>Delivery eff.</t>
        </is>
      </c>
      <c r="D3" s="55" t="inlineStr">
        <is>
          <t>Compression ($/yr)</t>
        </is>
      </c>
      <c r="E3" s="55" t="inlineStr">
        <is>
          <t>Inspection ($/yr)</t>
        </is>
      </c>
      <c r="F3" s="55" t="inlineStr">
        <is>
          <t>Leakage make-up (kg/yr)</t>
        </is>
      </c>
      <c r="G3" s="55" t="inlineStr">
        <is>
          <t>Throughput flag</t>
        </is>
      </c>
    </row>
    <row r="4" ht="15" customHeight="1" s="45">
      <c r="A4" s="52" t="n">
        <v>0</v>
      </c>
      <c r="B4" s="81">
        <f>Blend_Properties!$B$6</f>
        <v/>
      </c>
      <c r="C4" s="80">
        <f>1-(Global_Assumptions!$B$38/Global_Assumptions!$B$24)</f>
        <v/>
      </c>
      <c r="D4" s="82">
        <f>Blend_Properties!$F$6*Global_Assumptions!$B$38*Global_Assumptions!$B$19</f>
        <v/>
      </c>
      <c r="E4" s="82">
        <f>Global_Assumptions!$B$58*1</f>
        <v/>
      </c>
      <c r="F4" s="79">
        <f>Blend_Properties!$F$6*Global_Assumptions!$B$29</f>
        <v/>
      </c>
      <c r="G4" s="51">
        <f>IF(Blend_Properties!$C$6&gt;3,"check capacity","OK")</f>
        <v/>
      </c>
    </row>
    <row r="5" ht="15" customHeight="1" s="45">
      <c r="A5" s="52" t="n">
        <v>5</v>
      </c>
      <c r="B5" s="81">
        <f>Blend_Properties!$B$7</f>
        <v/>
      </c>
      <c r="C5" s="80">
        <f>1-(Global_Assumptions!$B$38/Global_Assumptions!$B$24)</f>
        <v/>
      </c>
      <c r="D5" s="82">
        <f>Blend_Properties!$F$7*Global_Assumptions!$B$38*Global_Assumptions!$B$19</f>
        <v/>
      </c>
      <c r="E5" s="82">
        <f>Global_Assumptions!$B$58*1</f>
        <v/>
      </c>
      <c r="F5" s="79">
        <f>Blend_Properties!$F$7*Global_Assumptions!$B$29</f>
        <v/>
      </c>
      <c r="G5" s="51">
        <f>IF(Blend_Properties!$C$7&gt;3,"check capacity","OK")</f>
        <v/>
      </c>
    </row>
    <row r="6" ht="15" customHeight="1" s="45">
      <c r="A6" s="52" t="n">
        <v>10</v>
      </c>
      <c r="B6" s="81">
        <f>Blend_Properties!$B$8</f>
        <v/>
      </c>
      <c r="C6" s="80">
        <f>1-(Global_Assumptions!$B$38/Global_Assumptions!$B$24)</f>
        <v/>
      </c>
      <c r="D6" s="82">
        <f>Blend_Properties!$F$8*Global_Assumptions!$B$38*Global_Assumptions!$B$19</f>
        <v/>
      </c>
      <c r="E6" s="82">
        <f>Global_Assumptions!$B$58*1</f>
        <v/>
      </c>
      <c r="F6" s="79">
        <f>Blend_Properties!$F$8*Global_Assumptions!$B$29</f>
        <v/>
      </c>
      <c r="G6" s="51">
        <f>IF(Blend_Properties!$C$8&gt;3,"check capacity","OK")</f>
        <v/>
      </c>
    </row>
    <row r="7" ht="15" customHeight="1" s="45">
      <c r="A7" s="52" t="n">
        <v>20</v>
      </c>
      <c r="B7" s="81">
        <f>Blend_Properties!$B$9</f>
        <v/>
      </c>
      <c r="C7" s="80">
        <f>1-(Global_Assumptions!$B$38/Global_Assumptions!$B$24)</f>
        <v/>
      </c>
      <c r="D7" s="82">
        <f>Blend_Properties!$F$9*Global_Assumptions!$B$38*Global_Assumptions!$B$19</f>
        <v/>
      </c>
      <c r="E7" s="82">
        <f>Global_Assumptions!$B$58*1</f>
        <v/>
      </c>
      <c r="F7" s="79">
        <f>Blend_Properties!$F$9*Global_Assumptions!$B$29</f>
        <v/>
      </c>
      <c r="G7" s="51">
        <f>IF(Blend_Properties!$C$9&gt;3,"check capacity","OK")</f>
        <v/>
      </c>
    </row>
    <row r="8" ht="15" customHeight="1" s="45">
      <c r="A8" s="52" t="n">
        <v>30</v>
      </c>
      <c r="B8" s="81">
        <f>Blend_Properties!$B$10</f>
        <v/>
      </c>
      <c r="C8" s="80">
        <f>1-(Global_Assumptions!$B$38/Global_Assumptions!$B$24)</f>
        <v/>
      </c>
      <c r="D8" s="82">
        <f>Blend_Properties!$F$10*Global_Assumptions!$B$38*Global_Assumptions!$B$19</f>
        <v/>
      </c>
      <c r="E8" s="82">
        <f>Global_Assumptions!$B$58*1</f>
        <v/>
      </c>
      <c r="F8" s="79">
        <f>Blend_Properties!$F$10*Global_Assumptions!$B$29</f>
        <v/>
      </c>
      <c r="G8" s="51">
        <f>IF(Blend_Properties!$C$10&gt;3,"check capacity","OK")</f>
        <v/>
      </c>
    </row>
    <row r="9" ht="15" customHeight="1" s="45">
      <c r="A9" s="52" t="n">
        <v>50</v>
      </c>
      <c r="B9" s="81">
        <f>Blend_Properties!$B$11</f>
        <v/>
      </c>
      <c r="C9" s="80">
        <f>1-(Global_Assumptions!$B$38/Global_Assumptions!$B$24)</f>
        <v/>
      </c>
      <c r="D9" s="82">
        <f>Blend_Properties!$F$11*Global_Assumptions!$B$38*Global_Assumptions!$B$19</f>
        <v/>
      </c>
      <c r="E9" s="82">
        <f>Global_Assumptions!$B$58*1</f>
        <v/>
      </c>
      <c r="F9" s="79">
        <f>Blend_Properties!$F$11*Global_Assumptions!$B$29</f>
        <v/>
      </c>
      <c r="G9" s="51">
        <f>IF(Blend_Properties!$C$11&gt;3,"check capacity","OK")</f>
        <v/>
      </c>
    </row>
    <row r="10" ht="15" customHeight="1" s="45">
      <c r="A10" s="52" t="n">
        <v>75</v>
      </c>
      <c r="B10" s="81">
        <f>Blend_Properties!$B$12</f>
        <v/>
      </c>
      <c r="C10" s="80">
        <f>1-(Global_Assumptions!$B$38/Global_Assumptions!$B$24)</f>
        <v/>
      </c>
      <c r="D10" s="82">
        <f>Blend_Properties!$F$12*Global_Assumptions!$B$38*Global_Assumptions!$B$19</f>
        <v/>
      </c>
      <c r="E10" s="82">
        <f>Global_Assumptions!$B$58*1</f>
        <v/>
      </c>
      <c r="F10" s="79">
        <f>Blend_Properties!$F$12*Global_Assumptions!$B$29</f>
        <v/>
      </c>
      <c r="G10" s="51">
        <f>IF(Blend_Properties!$C$12&gt;3,"check capacity","OK")</f>
        <v/>
      </c>
    </row>
    <row r="11" ht="15" customHeight="1" s="45">
      <c r="A11" s="52" t="n">
        <v>100</v>
      </c>
      <c r="B11" s="81">
        <f>Blend_Properties!$B$13</f>
        <v/>
      </c>
      <c r="C11" s="80">
        <f>1-(Global_Assumptions!$B$38/Global_Assumptions!$B$24)</f>
        <v/>
      </c>
      <c r="D11" s="82">
        <f>Blend_Properties!$F$13*Global_Assumptions!$B$38*Global_Assumptions!$B$19</f>
        <v/>
      </c>
      <c r="E11" s="82">
        <f>Global_Assumptions!$B$58*1</f>
        <v/>
      </c>
      <c r="F11" s="79">
        <f>Blend_Properties!$F$13*Global_Assumptions!$B$29</f>
        <v/>
      </c>
      <c r="G11" s="51">
        <f>IF(Blend_Properties!$C$13&gt;3,"check capacity","OK")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44" min="1" max="1"/>
    <col width="16" customWidth="1" style="44" min="2" max="3"/>
    <col width="30" customWidth="1" style="44" min="4" max="4"/>
  </cols>
  <sheetData>
    <row r="1" ht="15.75" customHeight="1" s="45">
      <c r="A1" s="46" t="inlineStr">
        <is>
          <t>NETWORK-BASED COST ALLOCATION — UCI Microturbine</t>
        </is>
      </c>
    </row>
    <row r="2" ht="15" customHeight="1" s="45">
      <c r="A2" s="47" t="inlineStr">
        <is>
          <t>Production / transmission / delivery split. Validated pipeline anchor from Reed 2024 [P2].</t>
        </is>
      </c>
    </row>
    <row r="3" ht="15" customHeight="1" s="45">
      <c r="A3" s="55" t="inlineStr">
        <is>
          <t>Cost layer</t>
        </is>
      </c>
      <c r="B3" s="55" t="inlineStr">
        <is>
          <t>$/kg</t>
        </is>
      </c>
      <c r="C3" s="55" t="inlineStr">
        <is>
          <t>Output metric</t>
        </is>
      </c>
      <c r="D3" s="55" t="inlineStr">
        <is>
          <t>Basis</t>
        </is>
      </c>
    </row>
    <row r="4" ht="15" customHeight="1" s="45">
      <c r="A4" s="51" t="inlineStr">
        <is>
          <t>Production (RH2 commodity)</t>
        </is>
      </c>
      <c r="B4" s="86">
        <f>Global_Assumptions!$B$13</f>
        <v/>
      </c>
      <c r="C4" s="51" t="inlineStr">
        <is>
          <t>$/kg produced</t>
        </is>
      </c>
      <c r="D4" s="51" t="inlineStr">
        <is>
          <t>[P1][P2]</t>
        </is>
      </c>
    </row>
    <row r="5" ht="15" customHeight="1" s="45">
      <c r="A5" s="51" t="inlineStr">
        <is>
          <t>Transmission (pipeline+compression)</t>
        </is>
      </c>
      <c r="B5" s="61" t="inlineStr">
        <is>
          <t>0.71</t>
        </is>
      </c>
      <c r="C5" s="51" t="inlineStr">
        <is>
          <t>$/kg transported</t>
        </is>
      </c>
      <c r="D5" s="51" t="inlineStr">
        <is>
          <t>[P2] Reed 2024</t>
        </is>
      </c>
    </row>
    <row r="6" ht="15" customHeight="1" s="45">
      <c r="A6" s="51" t="inlineStr">
        <is>
          <t>Local delivery (skid+storage)</t>
        </is>
      </c>
      <c r="B6" s="61" t="inlineStr">
        <is>
          <t>0.11</t>
        </is>
      </c>
      <c r="C6" s="51" t="inlineStr">
        <is>
          <t>$/kg delivered</t>
        </is>
      </c>
      <c r="D6" s="51" t="inlineStr">
        <is>
          <t>[P2]</t>
        </is>
      </c>
    </row>
    <row r="7" ht="15" customHeight="1" s="45">
      <c r="A7" s="51" t="inlineStr">
        <is>
          <t>End-use integration</t>
        </is>
      </c>
      <c r="B7" s="61" t="inlineStr">
        <is>
          <t>0.04</t>
        </is>
      </c>
      <c r="C7" s="51" t="inlineStr">
        <is>
          <t>$/MWh useful</t>
        </is>
      </c>
      <c r="D7" s="51" t="inlineStr">
        <is>
          <t>[P2]</t>
        </is>
      </c>
    </row>
    <row r="8" ht="15" customHeight="1" s="45">
      <c r="A8" s="50" t="inlineStr">
        <is>
          <t>Total delivered, $/kg (excl. $/MWh integration)</t>
        </is>
      </c>
      <c r="B8" s="87">
        <f>SUM(B4:B6)</f>
        <v/>
      </c>
      <c r="C8" s="51" t="inlineStr">
        <is>
          <t>$/kg</t>
        </is>
      </c>
      <c r="D8" s="51" t="inlineStr">
        <is>
          <t>validated $2.85/kg [P2]</t>
        </is>
      </c>
    </row>
    <row r="10" ht="15" customHeight="1" s="45">
      <c r="A10" s="83" t="inlineStr">
        <is>
          <t>Alternative delivery pathways ($/kg)</t>
        </is>
      </c>
    </row>
    <row r="11" ht="15" customHeight="1" s="45">
      <c r="A11" s="55" t="inlineStr">
        <is>
          <t>Pathway</t>
        </is>
      </c>
      <c r="B11" s="55" t="inlineStr">
        <is>
          <t>$/kg</t>
        </is>
      </c>
      <c r="C11" s="55" t="inlineStr">
        <is>
          <t>Type</t>
        </is>
      </c>
      <c r="D11" s="55" t="inlineStr">
        <is>
          <t>Source</t>
        </is>
      </c>
    </row>
    <row r="12" ht="15" customHeight="1" s="45">
      <c r="A12" s="51" t="inlineStr">
        <is>
          <t>Pipeline (direct)</t>
        </is>
      </c>
      <c r="B12" s="61" t="n">
        <v>2.85</v>
      </c>
      <c r="C12" s="51" t="inlineStr">
        <is>
          <t>direct</t>
        </is>
      </c>
      <c r="D12" s="51" t="inlineStr">
        <is>
          <t>[P2]</t>
        </is>
      </c>
    </row>
    <row r="13" ht="15" customHeight="1" s="45">
      <c r="A13" s="51" t="inlineStr">
        <is>
          <t>Cryo-tanker (direct)</t>
        </is>
      </c>
      <c r="B13" s="61" t="n">
        <v>3.98</v>
      </c>
      <c r="C13" s="51" t="inlineStr">
        <is>
          <t>direct</t>
        </is>
      </c>
      <c r="D13" s="51" t="inlineStr">
        <is>
          <t>[P2]</t>
        </is>
      </c>
    </row>
    <row r="14" ht="15" customHeight="1" s="45">
      <c r="A14" s="51" t="inlineStr">
        <is>
          <t>On-site electrolysis</t>
        </is>
      </c>
      <c r="B14" s="61" t="n">
        <v>3.65</v>
      </c>
      <c r="C14" s="51" t="inlineStr">
        <is>
          <t>on-site</t>
        </is>
      </c>
      <c r="D14" s="51" t="inlineStr">
        <is>
          <t>[P2]</t>
        </is>
      </c>
    </row>
    <row r="15" ht="15" customHeight="1" s="45">
      <c r="A15" s="51" t="inlineStr">
        <is>
          <t>Ammonia carrier</t>
        </is>
      </c>
      <c r="B15" s="61" t="n">
        <v>5</v>
      </c>
      <c r="C15" s="51" t="inlineStr">
        <is>
          <t>carrier</t>
        </is>
      </c>
      <c r="D15" s="51" t="inlineStr">
        <is>
          <t>placeholder</t>
        </is>
      </c>
    </row>
    <row r="16" ht="15" customHeight="1" s="45">
      <c r="A16" s="51" t="inlineStr">
        <is>
          <t>LOHC carrier</t>
        </is>
      </c>
      <c r="B16" s="61" t="n">
        <v>4.5</v>
      </c>
      <c r="C16" s="51" t="inlineStr">
        <is>
          <t>carrier</t>
        </is>
      </c>
      <c r="D16" s="51" t="inlineStr">
        <is>
          <t>placeholder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G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44" min="1" max="1"/>
    <col width="16" customWidth="1" style="44" min="2" max="6"/>
    <col width="18" customWidth="1" style="44" min="7" max="7"/>
  </cols>
  <sheetData>
    <row r="1" ht="15.75" customHeight="1" s="45">
      <c r="A1" s="46" t="inlineStr">
        <is>
          <t>LEVELIZED METRICS — UCI Microturbine</t>
        </is>
      </c>
    </row>
    <row r="2" ht="15" customHeight="1" s="45">
      <c r="A2" s="47" t="inlineStr">
        <is>
          <t>LCOH = RH2 + (CCRF·CAPEX + OPEX)/(demand·availability). Pulls scenario totals from Scenario_Results (near retrofit).</t>
        </is>
      </c>
    </row>
    <row r="3" ht="23.25" customHeight="1" s="45">
      <c r="A3" s="55" t="inlineStr">
        <is>
          <t>Blend %</t>
        </is>
      </c>
      <c r="B3" s="55" t="inlineStr">
        <is>
          <t>LCOH near ($/kg)</t>
        </is>
      </c>
      <c r="C3" s="55" t="inlineStr">
        <is>
          <t>LCOH far ($/kg)</t>
        </is>
      </c>
      <c r="D3" s="55" t="inlineStr">
        <is>
          <t>LCOH w/ 45V (if eligible) ($/kg)</t>
        </is>
      </c>
      <c r="E3" s="55" t="inlineStr">
        <is>
          <t>$/tCO2e avoided</t>
        </is>
      </c>
      <c r="F3" s="55" t="inlineStr">
        <is>
          <t>Lev. capture ($/tCO2)</t>
        </is>
      </c>
      <c r="G3" s="55" t="inlineStr">
        <is>
          <t>CO2 avoided (t/yr)</t>
        </is>
      </c>
    </row>
    <row r="4" ht="15" customHeight="1" s="45">
      <c r="A4" s="52" t="n">
        <v>0</v>
      </c>
      <c r="B4" s="74">
        <f>IF($A4=0,"N/A",Scenario_Results!K4)</f>
        <v/>
      </c>
      <c r="C4" s="74">
        <f>IF($A4=0,"N/A",Scenario_Results!K5)</f>
        <v/>
      </c>
      <c r="D4" s="75">
        <f>IF($A4=0,"N/A",B4+Global_Assumptions!$B$21)</f>
        <v/>
      </c>
      <c r="E4" s="88">
        <f>IF($A4=0,"N/A",Scenario_Results!M4)</f>
        <v/>
      </c>
      <c r="F4" s="88">
        <f>Scenario_Results!N4</f>
        <v/>
      </c>
      <c r="G4" s="88">
        <f>Blend_Properties!$G$6</f>
        <v/>
      </c>
    </row>
    <row r="5" ht="15" customHeight="1" s="45">
      <c r="A5" s="52" t="n">
        <v>5</v>
      </c>
      <c r="B5" s="74">
        <f>Scenario_Results!K7</f>
        <v/>
      </c>
      <c r="C5" s="74">
        <f>Scenario_Results!K8</f>
        <v/>
      </c>
      <c r="D5" s="75">
        <f>B5+Global_Assumptions!$B$21</f>
        <v/>
      </c>
      <c r="E5" s="88">
        <f>Scenario_Results!M7</f>
        <v/>
      </c>
      <c r="F5" s="88">
        <f>Scenario_Results!N7</f>
        <v/>
      </c>
      <c r="G5" s="88">
        <f>Blend_Properties!$G$7</f>
        <v/>
      </c>
    </row>
    <row r="6" ht="15" customHeight="1" s="45">
      <c r="A6" s="52" t="n">
        <v>10</v>
      </c>
      <c r="B6" s="74">
        <f>Scenario_Results!K10</f>
        <v/>
      </c>
      <c r="C6" s="74">
        <f>Scenario_Results!K11</f>
        <v/>
      </c>
      <c r="D6" s="75">
        <f>B6+Global_Assumptions!$B$21</f>
        <v/>
      </c>
      <c r="E6" s="88">
        <f>Scenario_Results!M10</f>
        <v/>
      </c>
      <c r="F6" s="88">
        <f>Scenario_Results!N10</f>
        <v/>
      </c>
      <c r="G6" s="88">
        <f>Blend_Properties!$G$8</f>
        <v/>
      </c>
    </row>
    <row r="7" ht="15" customHeight="1" s="45">
      <c r="A7" s="52" t="n">
        <v>20</v>
      </c>
      <c r="B7" s="74">
        <f>Scenario_Results!K13</f>
        <v/>
      </c>
      <c r="C7" s="74">
        <f>Scenario_Results!K14</f>
        <v/>
      </c>
      <c r="D7" s="75">
        <f>B7+Global_Assumptions!$B$21</f>
        <v/>
      </c>
      <c r="E7" s="88">
        <f>Scenario_Results!M13</f>
        <v/>
      </c>
      <c r="F7" s="88">
        <f>Scenario_Results!N13</f>
        <v/>
      </c>
      <c r="G7" s="88">
        <f>Blend_Properties!$G$9</f>
        <v/>
      </c>
    </row>
    <row r="8" ht="15" customHeight="1" s="45">
      <c r="A8" s="52" t="n">
        <v>30</v>
      </c>
      <c r="B8" s="74">
        <f>Scenario_Results!K16</f>
        <v/>
      </c>
      <c r="C8" s="74">
        <f>Scenario_Results!K17</f>
        <v/>
      </c>
      <c r="D8" s="75">
        <f>B8+Global_Assumptions!$B$21</f>
        <v/>
      </c>
      <c r="E8" s="88">
        <f>Scenario_Results!M16</f>
        <v/>
      </c>
      <c r="F8" s="88">
        <f>Scenario_Results!N16</f>
        <v/>
      </c>
      <c r="G8" s="88">
        <f>Blend_Properties!$G$10</f>
        <v/>
      </c>
    </row>
    <row r="9" ht="15" customHeight="1" s="45">
      <c r="A9" s="52" t="n">
        <v>50</v>
      </c>
      <c r="B9" s="74">
        <f>Scenario_Results!K19</f>
        <v/>
      </c>
      <c r="C9" s="74">
        <f>Scenario_Results!K20</f>
        <v/>
      </c>
      <c r="D9" s="75">
        <f>B9+Global_Assumptions!$B$21</f>
        <v/>
      </c>
      <c r="E9" s="88">
        <f>Scenario_Results!M19</f>
        <v/>
      </c>
      <c r="F9" s="88">
        <f>Scenario_Results!N19</f>
        <v/>
      </c>
      <c r="G9" s="88">
        <f>Blend_Properties!$G$11</f>
        <v/>
      </c>
    </row>
    <row r="10" ht="15" customHeight="1" s="45">
      <c r="A10" s="52" t="n">
        <v>75</v>
      </c>
      <c r="B10" s="74">
        <f>Scenario_Results!K22</f>
        <v/>
      </c>
      <c r="C10" s="74">
        <f>Scenario_Results!K23</f>
        <v/>
      </c>
      <c r="D10" s="75">
        <f>B10+Global_Assumptions!$B$21</f>
        <v/>
      </c>
      <c r="E10" s="88">
        <f>Scenario_Results!M22</f>
        <v/>
      </c>
      <c r="F10" s="88">
        <f>Scenario_Results!N22</f>
        <v/>
      </c>
      <c r="G10" s="88">
        <f>Blend_Properties!$G$12</f>
        <v/>
      </c>
    </row>
    <row r="11" ht="15" customHeight="1" s="45">
      <c r="A11" s="52" t="n">
        <v>100</v>
      </c>
      <c r="B11" s="74">
        <f>Scenario_Results!K25</f>
        <v/>
      </c>
      <c r="C11" s="74">
        <f>Scenario_Results!K26</f>
        <v/>
      </c>
      <c r="D11" s="75">
        <f>B11+Global_Assumptions!$B$21</f>
        <v/>
      </c>
      <c r="E11" s="88">
        <f>Scenario_Results!M25</f>
        <v/>
      </c>
      <c r="F11" s="88">
        <f>Scenario_Results!N25</f>
        <v/>
      </c>
      <c r="G11" s="88">
        <f>Blend_Properties!$G$13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44" min="1" max="1"/>
    <col width="16" customWidth="1" style="44" min="2" max="3"/>
    <col width="28" customWidth="1" style="44" min="4" max="4"/>
  </cols>
  <sheetData>
    <row r="1" ht="15.75" customHeight="1" s="45">
      <c r="A1" s="46" t="inlineStr">
        <is>
          <t>COMPARATIVE PATHWAYS (high level) — UCI Microturbine</t>
        </is>
      </c>
    </row>
    <row r="2" ht="15" customHeight="1" s="45">
      <c r="A2" s="47" t="inlineStr">
        <is>
          <t>Retrofit vs new; blend vs full; direct vs carrier. Paper-sourced where available; carriers are placeholders.</t>
        </is>
      </c>
    </row>
    <row r="3" ht="15" customHeight="1" s="45">
      <c r="A3" s="55" t="inlineStr">
        <is>
          <t>Comparison</t>
        </is>
      </c>
      <c r="B3" s="55" t="inlineStr">
        <is>
          <t>Value</t>
        </is>
      </c>
      <c r="C3" s="55" t="inlineStr">
        <is>
          <t>Unit</t>
        </is>
      </c>
      <c r="D3" s="55" t="inlineStr">
        <is>
          <t>Note</t>
        </is>
      </c>
    </row>
    <row r="4" ht="15" customHeight="1" s="45">
      <c r="A4" s="51" t="inlineStr">
        <is>
          <t>Retrofit pipeline</t>
        </is>
      </c>
      <c r="B4" s="84">
        <f>TEA_CAPEX!C5</f>
        <v/>
      </c>
      <c r="C4" s="51" t="inlineStr">
        <is>
          <t>$ total</t>
        </is>
      </c>
      <c r="D4" s="51" t="inlineStr">
        <is>
          <t>20% of new [P3]</t>
        </is>
      </c>
    </row>
    <row r="5" ht="15" customHeight="1" s="45">
      <c r="A5" s="51" t="inlineStr">
        <is>
          <t>New purpose-built pipeline</t>
        </is>
      </c>
      <c r="B5" s="84">
        <f>TEA_CAPEX!C4</f>
        <v/>
      </c>
      <c r="C5" s="51" t="inlineStr">
        <is>
          <t>$ total</t>
        </is>
      </c>
      <c r="D5" s="51" t="inlineStr">
        <is>
          <t>new×premium [R5]</t>
        </is>
      </c>
    </row>
    <row r="6" ht="15" customHeight="1" s="45">
      <c r="A6" s="51" t="inlineStr">
        <is>
          <t>Blend 20% (near) LCOH</t>
        </is>
      </c>
      <c r="B6" s="86">
        <f>TEA_Levelized!B7</f>
        <v/>
      </c>
      <c r="C6" s="51" t="inlineStr">
        <is>
          <t>$/kg</t>
        </is>
      </c>
      <c r="D6" s="51" t="inlineStr">
        <is>
          <t>moderate decarbonization</t>
        </is>
      </c>
    </row>
    <row r="7" ht="15" customHeight="1" s="45">
      <c r="A7" s="51" t="inlineStr">
        <is>
          <t>Full 100% (near) LCOH</t>
        </is>
      </c>
      <c r="B7" s="86">
        <f>TEA_Levelized!B11</f>
        <v/>
      </c>
      <c r="C7" s="51" t="inlineStr">
        <is>
          <t>$/kg</t>
        </is>
      </c>
      <c r="D7" s="51" t="inlineStr">
        <is>
          <t>max decarbonization</t>
        </is>
      </c>
    </row>
    <row r="8" ht="15" customHeight="1" s="45">
      <c r="A8" s="51" t="inlineStr">
        <is>
          <t>Pipeline (direct)</t>
        </is>
      </c>
      <c r="B8" s="86">
        <f>TEA_Network!B14</f>
        <v/>
      </c>
      <c r="C8" s="51" t="inlineStr">
        <is>
          <t>$/kg</t>
        </is>
      </c>
      <c r="D8" s="51" t="inlineStr">
        <is>
          <t>[P2]</t>
        </is>
      </c>
    </row>
    <row r="9" ht="15" customHeight="1" s="45">
      <c r="A9" s="51" t="inlineStr">
        <is>
          <t>Cryo-tanker (direct)</t>
        </is>
      </c>
      <c r="B9" s="86">
        <f>TEA_Network!B15</f>
        <v/>
      </c>
      <c r="C9" s="51" t="inlineStr">
        <is>
          <t>$/kg</t>
        </is>
      </c>
      <c r="D9" s="51" t="inlineStr">
        <is>
          <t>[P2]</t>
        </is>
      </c>
    </row>
    <row r="10" ht="15" customHeight="1" s="45">
      <c r="A10" s="51" t="inlineStr">
        <is>
          <t>On-site electrolysis</t>
        </is>
      </c>
      <c r="B10" s="86">
        <f>TEA_Network!B16</f>
        <v/>
      </c>
      <c r="C10" s="51" t="inlineStr">
        <is>
          <t>$/kg</t>
        </is>
      </c>
      <c r="D10" s="51" t="inlineStr">
        <is>
          <t>[P2]</t>
        </is>
      </c>
    </row>
    <row r="11" ht="15" customHeight="1" s="45">
      <c r="A11" s="51" t="inlineStr">
        <is>
          <t>Ammonia carrier</t>
        </is>
      </c>
      <c r="B11" s="86">
        <f>TEA_Network!B17</f>
        <v/>
      </c>
      <c r="C11" s="51" t="inlineStr">
        <is>
          <t>$/kg</t>
        </is>
      </c>
      <c r="D11" s="51" t="inlineStr">
        <is>
          <t>placeholder</t>
        </is>
      </c>
    </row>
    <row r="12" ht="15" customHeight="1" s="45">
      <c r="A12" s="51" t="inlineStr">
        <is>
          <t>LOHC carrier</t>
        </is>
      </c>
      <c r="B12" s="86">
        <f>TEA_Network!B18</f>
        <v/>
      </c>
      <c r="C12" s="51" t="inlineStr">
        <is>
          <t>$/kg</t>
        </is>
      </c>
      <c r="D12" s="51" t="inlineStr">
        <is>
          <t>placeholder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N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" customWidth="1" style="44" min="1" max="1"/>
    <col width="10" customWidth="1" style="44" min="2" max="3"/>
    <col width="14" customWidth="1" style="44" min="4" max="4"/>
    <col width="12" customWidth="1" style="44" min="5" max="5"/>
    <col width="14" customWidth="1" style="44" min="6" max="11"/>
    <col width="12" customWidth="1" style="44" min="12" max="13"/>
    <col width="14" customWidth="1" style="44" min="14" max="14"/>
  </cols>
  <sheetData>
    <row r="1" ht="15.75" customHeight="1" s="45">
      <c r="A1" s="46" t="inlineStr">
        <is>
          <t>UNIFIED SCENARIO RESULTS — UCI Microturbine (formula-driven)</t>
        </is>
      </c>
    </row>
    <row r="2" ht="15" customHeight="1" s="45">
      <c r="A2" s="47" t="inlineStr">
        <is>
          <t>Blend × distance × pathway. All columns computed from Global_Assumptions + Blend_Properties + Hydraulics.</t>
        </is>
      </c>
    </row>
    <row r="3" ht="23.25" customHeight="1" s="45">
      <c r="A3" s="55" t="inlineStr">
        <is>
          <t>Blend%</t>
        </is>
      </c>
      <c r="B3" s="55" t="inlineStr">
        <is>
          <t>Dist(mi)</t>
        </is>
      </c>
      <c r="C3" s="55" t="inlineStr">
        <is>
          <t>Pathway</t>
        </is>
      </c>
      <c r="D3" s="55" t="inlineStr">
        <is>
          <t>H2 (kg/yr)</t>
        </is>
      </c>
      <c r="E3" s="55" t="inlineStr">
        <is>
          <t>Compr.</t>
        </is>
      </c>
      <c r="F3" s="55" t="inlineStr">
        <is>
          <t>Pipe CAPEX($)</t>
        </is>
      </c>
      <c r="G3" s="55" t="inlineStr">
        <is>
          <t>Comp CAPEX($)</t>
        </is>
      </c>
      <c r="H3" s="55" t="inlineStr">
        <is>
          <t>Skid+Stor($)</t>
        </is>
      </c>
      <c r="I3" s="55" t="inlineStr">
        <is>
          <t>Ann.CAPEX($)</t>
        </is>
      </c>
      <c r="J3" s="55" t="inlineStr">
        <is>
          <t>Ann.OPEX($)</t>
        </is>
      </c>
      <c r="K3" s="55" t="inlineStr">
        <is>
          <t>LCOH($/kg)</t>
        </is>
      </c>
      <c r="L3" s="55" t="inlineStr">
        <is>
          <t>CCS($/yr)</t>
        </is>
      </c>
      <c r="M3" s="55" t="inlineStr">
        <is>
          <t>$/tCO2e</t>
        </is>
      </c>
      <c r="N3" s="55" t="inlineStr">
        <is>
          <t>Lev.cap($/tCO2)</t>
        </is>
      </c>
    </row>
    <row r="4" ht="15" customHeight="1" s="45">
      <c r="A4" s="52" t="n">
        <v>0</v>
      </c>
      <c r="B4" s="88">
        <f>TEA_Hydraulics!$B$3</f>
        <v/>
      </c>
      <c r="C4" s="51" t="inlineStr">
        <is>
          <t>retrofit</t>
        </is>
      </c>
      <c r="D4" s="88">
        <f>Blend_Properties!$F$6</f>
        <v/>
      </c>
      <c r="E4" s="88">
        <f>TEA_Hydraulics!C5</f>
        <v/>
      </c>
      <c r="F4" s="82">
        <f>(Global_Assumptions!$B$44*Global_Assumptions!$B$45*1000000)*TEA_Hydraulics!$B$3</f>
        <v/>
      </c>
      <c r="G4" s="82" t="n">
        <v>0</v>
      </c>
      <c r="H4" s="82">
        <f>Global_Assumptions!$B$47*1000000+Blend_Properties!$F$6/365*Global_Assumptions!$B$49*Global_Assumptions!$B$48</f>
        <v/>
      </c>
      <c r="I4" s="82">
        <f>(F4+G4+H4)*Global_Assumptions!$B$5</f>
        <v/>
      </c>
      <c r="J4" s="82">
        <f>Blend_Properties!$F$6*Global_Assumptions!$B$38*Global_Assumptions!$B$19 + G4*Global_Assumptions!$B$41 + F4*Global_Assumptions!$B$50 + Global_Assumptions!$B$58*TEA_Hydraulics!$B$3 + Blend_Properties!$H$6*Global_Assumptions!$B$33*Global_Assumptions!$B$31</f>
        <v/>
      </c>
      <c r="K4" s="75">
        <f>IF(D4&gt;0,Global_Assumptions!$B$13+(I4+J4)/(D4*Global_Assumptions!$B$11),0)</f>
        <v/>
      </c>
      <c r="L4" s="82">
        <f>Blend_Properties!$H$6*Global_Assumptions!$B$33*Global_Assumptions!$B$31</f>
        <v/>
      </c>
      <c r="M4" s="79">
        <f>IF(Blend_Properties!$G$6&gt;0,(I4+J4)/Blend_Properties!$G$6,0)</f>
        <v/>
      </c>
      <c r="N4" s="88">
        <f>Global_Assumptions!$B$33</f>
        <v/>
      </c>
    </row>
    <row r="5" ht="15" customHeight="1" s="45">
      <c r="A5" s="52" t="n">
        <v>0</v>
      </c>
      <c r="B5" s="88">
        <f>TEA_Hydraulics!$E$3</f>
        <v/>
      </c>
      <c r="C5" s="51" t="inlineStr">
        <is>
          <t>retrofit</t>
        </is>
      </c>
      <c r="D5" s="88">
        <f>Blend_Properties!$F$6</f>
        <v/>
      </c>
      <c r="E5" s="88">
        <f>TEA_Hydraulics!D5</f>
        <v/>
      </c>
      <c r="F5" s="82">
        <f>(Global_Assumptions!$B$44*Global_Assumptions!$B$45*1000000)*TEA_Hydraulics!$E$3</f>
        <v/>
      </c>
      <c r="G5" s="82">
        <f>E5*Global_Assumptions!$B$39*1000000*(Blend_Properties!$F$6*Global_Assumptions!$B$38/8760/1000)</f>
        <v/>
      </c>
      <c r="H5" s="82">
        <f>Global_Assumptions!$B$47*1000000+Blend_Properties!$F$6/365*Global_Assumptions!$B$49*Global_Assumptions!$B$48</f>
        <v/>
      </c>
      <c r="I5" s="82">
        <f>(F5+G5+H5)*Global_Assumptions!$B$5</f>
        <v/>
      </c>
      <c r="J5" s="82">
        <f>Blend_Properties!$F$6*Global_Assumptions!$B$38*Global_Assumptions!$B$19 + G5*Global_Assumptions!$B$41 + F5*Global_Assumptions!$B$50 + Global_Assumptions!$B$58*TEA_Hydraulics!$E$3 + Blend_Properties!$H$6*Global_Assumptions!$B$33*Global_Assumptions!$B$31</f>
        <v/>
      </c>
      <c r="K5" s="75">
        <f>IF(D5&gt;0,Global_Assumptions!$B$13+(I5+J5)/(D5*Global_Assumptions!$B$11),0)</f>
        <v/>
      </c>
      <c r="L5" s="82">
        <f>Blend_Properties!$H$6*Global_Assumptions!$B$33*Global_Assumptions!$B$31</f>
        <v/>
      </c>
      <c r="M5" s="79">
        <f>IF(Blend_Properties!$G$6&gt;0,(I5+J5)/Blend_Properties!$G$6,0)</f>
        <v/>
      </c>
      <c r="N5" s="88">
        <f>Global_Assumptions!$B$33</f>
        <v/>
      </c>
    </row>
    <row r="6" ht="15" customHeight="1" s="45">
      <c r="A6" s="52" t="n">
        <v>0</v>
      </c>
      <c r="B6" s="88">
        <f>TEA_Hydraulics!$E$3</f>
        <v/>
      </c>
      <c r="C6" s="51" t="inlineStr">
        <is>
          <t>new</t>
        </is>
      </c>
      <c r="D6" s="88">
        <f>Blend_Properties!$F$6</f>
        <v/>
      </c>
      <c r="E6" s="88">
        <f>TEA_Hydraulics!D5</f>
        <v/>
      </c>
      <c r="F6" s="82">
        <f>(Global_Assumptions!$B$44*Global_Assumptions!$B$46*1000000)*TEA_Hydraulics!$E$3</f>
        <v/>
      </c>
      <c r="G6" s="82">
        <f>E6*Global_Assumptions!$B$39*1000000*(Blend_Properties!$F$6*Global_Assumptions!$B$38/8760/1000)</f>
        <v/>
      </c>
      <c r="H6" s="82">
        <f>Global_Assumptions!$B$47*1000000+Blend_Properties!$F$6/365*Global_Assumptions!$B$49*Global_Assumptions!$B$48</f>
        <v/>
      </c>
      <c r="I6" s="82">
        <f>(F6+G6+H6)*Global_Assumptions!$B$5</f>
        <v/>
      </c>
      <c r="J6" s="82">
        <f>Blend_Properties!$F$6*Global_Assumptions!$B$38*Global_Assumptions!$B$19 + G6*Global_Assumptions!$B$41 + F6*Global_Assumptions!$B$50 + Global_Assumptions!$B$59*TEA_Hydraulics!$E$3 + Blend_Properties!$H$6*Global_Assumptions!$B$33*Global_Assumptions!$B$31</f>
        <v/>
      </c>
      <c r="K6" s="75">
        <f>IF(D6&gt;0,Global_Assumptions!$B$13+(I6+J6)/(D6*Global_Assumptions!$B$11),0)</f>
        <v/>
      </c>
      <c r="L6" s="82">
        <f>Blend_Properties!$H$6*Global_Assumptions!$B$33*Global_Assumptions!$B$31</f>
        <v/>
      </c>
      <c r="M6" s="79">
        <f>IF(Blend_Properties!$G$6&gt;0,(I6+J6)/Blend_Properties!$G$6,0)</f>
        <v/>
      </c>
      <c r="N6" s="88">
        <f>Global_Assumptions!$B$33</f>
        <v/>
      </c>
    </row>
    <row r="7" ht="15" customHeight="1" s="45">
      <c r="A7" s="52" t="n">
        <v>5</v>
      </c>
      <c r="B7" s="88">
        <f>TEA_Hydraulics!$B$3</f>
        <v/>
      </c>
      <c r="C7" s="51" t="inlineStr">
        <is>
          <t>retrofit</t>
        </is>
      </c>
      <c r="D7" s="88">
        <f>Blend_Properties!$F$7</f>
        <v/>
      </c>
      <c r="E7" s="88">
        <f>TEA_Hydraulics!C6</f>
        <v/>
      </c>
      <c r="F7" s="82">
        <f>(Global_Assumptions!$B$44*Global_Assumptions!$B$45*1000000)*TEA_Hydraulics!$B$3</f>
        <v/>
      </c>
      <c r="G7" s="82" t="n">
        <v>0</v>
      </c>
      <c r="H7" s="82">
        <f>Global_Assumptions!$B$47*1000000+Blend_Properties!$F$7/365*Global_Assumptions!$B$49*Global_Assumptions!$B$48</f>
        <v/>
      </c>
      <c r="I7" s="82">
        <f>(F7+G7+H7)*Global_Assumptions!$B$5</f>
        <v/>
      </c>
      <c r="J7" s="82">
        <f>Blend_Properties!$F$7*Global_Assumptions!$B$38*Global_Assumptions!$B$19 + G7*Global_Assumptions!$B$41 + F7*Global_Assumptions!$B$50 + Global_Assumptions!$B$58*TEA_Hydraulics!$B$3 + Blend_Properties!$H$7*Global_Assumptions!$B$33*Global_Assumptions!$B$31</f>
        <v/>
      </c>
      <c r="K7" s="75">
        <f>IF(D7&gt;0,Global_Assumptions!$B$13+(I7+J7)/(D7*Global_Assumptions!$B$11),0)</f>
        <v/>
      </c>
      <c r="L7" s="82">
        <f>Blend_Properties!$H$7*Global_Assumptions!$B$33*Global_Assumptions!$B$31</f>
        <v/>
      </c>
      <c r="M7" s="79">
        <f>IF(Blend_Properties!$G$7&gt;0,(I7+J7)/Blend_Properties!$G$7,0)</f>
        <v/>
      </c>
      <c r="N7" s="88">
        <f>Global_Assumptions!$B$33</f>
        <v/>
      </c>
    </row>
    <row r="8" ht="15" customHeight="1" s="45">
      <c r="A8" s="52" t="n">
        <v>5</v>
      </c>
      <c r="B8" s="88">
        <f>TEA_Hydraulics!$E$3</f>
        <v/>
      </c>
      <c r="C8" s="51" t="inlineStr">
        <is>
          <t>retrofit</t>
        </is>
      </c>
      <c r="D8" s="88">
        <f>Blend_Properties!$F$7</f>
        <v/>
      </c>
      <c r="E8" s="88">
        <f>TEA_Hydraulics!D6</f>
        <v/>
      </c>
      <c r="F8" s="82">
        <f>(Global_Assumptions!$B$44*Global_Assumptions!$B$45*1000000)*TEA_Hydraulics!$E$3</f>
        <v/>
      </c>
      <c r="G8" s="82">
        <f>E8*Global_Assumptions!$B$39*1000000*(Blend_Properties!$F$7*Global_Assumptions!$B$38/8760/1000)</f>
        <v/>
      </c>
      <c r="H8" s="82">
        <f>Global_Assumptions!$B$47*1000000+Blend_Properties!$F$7/365*Global_Assumptions!$B$49*Global_Assumptions!$B$48</f>
        <v/>
      </c>
      <c r="I8" s="82">
        <f>(F8+G8+H8)*Global_Assumptions!$B$5</f>
        <v/>
      </c>
      <c r="J8" s="82">
        <f>Blend_Properties!$F$7*Global_Assumptions!$B$38*Global_Assumptions!$B$19 + G8*Global_Assumptions!$B$41 + F8*Global_Assumptions!$B$50 + Global_Assumptions!$B$58*TEA_Hydraulics!$E$3 + Blend_Properties!$H$7*Global_Assumptions!$B$33*Global_Assumptions!$B$31</f>
        <v/>
      </c>
      <c r="K8" s="75">
        <f>IF(D8&gt;0,Global_Assumptions!$B$13+(I8+J8)/(D8*Global_Assumptions!$B$11),0)</f>
        <v/>
      </c>
      <c r="L8" s="82">
        <f>Blend_Properties!$H$7*Global_Assumptions!$B$33*Global_Assumptions!$B$31</f>
        <v/>
      </c>
      <c r="M8" s="79">
        <f>IF(Blend_Properties!$G$7&gt;0,(I8+J8)/Blend_Properties!$G$7,0)</f>
        <v/>
      </c>
      <c r="N8" s="88">
        <f>Global_Assumptions!$B$33</f>
        <v/>
      </c>
    </row>
    <row r="9" ht="15" customHeight="1" s="45">
      <c r="A9" s="52" t="n">
        <v>5</v>
      </c>
      <c r="B9" s="88">
        <f>TEA_Hydraulics!$E$3</f>
        <v/>
      </c>
      <c r="C9" s="51" t="inlineStr">
        <is>
          <t>new</t>
        </is>
      </c>
      <c r="D9" s="88">
        <f>Blend_Properties!$F$7</f>
        <v/>
      </c>
      <c r="E9" s="88">
        <f>TEA_Hydraulics!D6</f>
        <v/>
      </c>
      <c r="F9" s="82">
        <f>(Global_Assumptions!$B$44*Global_Assumptions!$B$46*1000000)*TEA_Hydraulics!$E$3</f>
        <v/>
      </c>
      <c r="G9" s="82">
        <f>E9*Global_Assumptions!$B$39*1000000*(Blend_Properties!$F$7*Global_Assumptions!$B$38/8760/1000)</f>
        <v/>
      </c>
      <c r="H9" s="82">
        <f>Global_Assumptions!$B$47*1000000+Blend_Properties!$F$7/365*Global_Assumptions!$B$49*Global_Assumptions!$B$48</f>
        <v/>
      </c>
      <c r="I9" s="82">
        <f>(F9+G9+H9)*Global_Assumptions!$B$5</f>
        <v/>
      </c>
      <c r="J9" s="82">
        <f>Blend_Properties!$F$7*Global_Assumptions!$B$38*Global_Assumptions!$B$19 + G9*Global_Assumptions!$B$41 + F9*Global_Assumptions!$B$50 + Global_Assumptions!$B$59*TEA_Hydraulics!$E$3 + Blend_Properties!$H$7*Global_Assumptions!$B$33*Global_Assumptions!$B$31</f>
        <v/>
      </c>
      <c r="K9" s="75">
        <f>IF(D9&gt;0,Global_Assumptions!$B$13+(I9+J9)/(D9*Global_Assumptions!$B$11),0)</f>
        <v/>
      </c>
      <c r="L9" s="82">
        <f>Blend_Properties!$H$7*Global_Assumptions!$B$33*Global_Assumptions!$B$31</f>
        <v/>
      </c>
      <c r="M9" s="79">
        <f>IF(Blend_Properties!$G$7&gt;0,(I9+J9)/Blend_Properties!$G$7,0)</f>
        <v/>
      </c>
      <c r="N9" s="88">
        <f>Global_Assumptions!$B$33</f>
        <v/>
      </c>
    </row>
    <row r="10" ht="15" customHeight="1" s="45">
      <c r="A10" s="52" t="n">
        <v>10</v>
      </c>
      <c r="B10" s="88">
        <f>TEA_Hydraulics!$B$3</f>
        <v/>
      </c>
      <c r="C10" s="51" t="inlineStr">
        <is>
          <t>retrofit</t>
        </is>
      </c>
      <c r="D10" s="88">
        <f>Blend_Properties!$F$8</f>
        <v/>
      </c>
      <c r="E10" s="88">
        <f>TEA_Hydraulics!C7</f>
        <v/>
      </c>
      <c r="F10" s="82">
        <f>(Global_Assumptions!$B$44*Global_Assumptions!$B$45*1000000)*TEA_Hydraulics!$B$3</f>
        <v/>
      </c>
      <c r="G10" s="82" t="n">
        <v>0</v>
      </c>
      <c r="H10" s="82">
        <f>Global_Assumptions!$B$47*1000000+Blend_Properties!$F$8/365*Global_Assumptions!$B$49*Global_Assumptions!$B$48</f>
        <v/>
      </c>
      <c r="I10" s="82">
        <f>(F10+G10+H10)*Global_Assumptions!$B$5</f>
        <v/>
      </c>
      <c r="J10" s="82">
        <f>Blend_Properties!$F$8*Global_Assumptions!$B$38*Global_Assumptions!$B$19 + G10*Global_Assumptions!$B$41 + F10*Global_Assumptions!$B$50 + Global_Assumptions!$B$58*TEA_Hydraulics!$B$3 + Blend_Properties!$H$8*Global_Assumptions!$B$33*Global_Assumptions!$B$31</f>
        <v/>
      </c>
      <c r="K10" s="75">
        <f>IF(D10&gt;0,Global_Assumptions!$B$13+(I10+J10)/(D10*Global_Assumptions!$B$11),0)</f>
        <v/>
      </c>
      <c r="L10" s="82">
        <f>Blend_Properties!$H$8*Global_Assumptions!$B$33*Global_Assumptions!$B$31</f>
        <v/>
      </c>
      <c r="M10" s="79">
        <f>IF(Blend_Properties!$G$8&gt;0,(I10+J10)/Blend_Properties!$G$8,0)</f>
        <v/>
      </c>
      <c r="N10" s="88">
        <f>Global_Assumptions!$B$33</f>
        <v/>
      </c>
    </row>
    <row r="11" ht="15" customHeight="1" s="45">
      <c r="A11" s="52" t="n">
        <v>10</v>
      </c>
      <c r="B11" s="88">
        <f>TEA_Hydraulics!$E$3</f>
        <v/>
      </c>
      <c r="C11" s="51" t="inlineStr">
        <is>
          <t>retrofit</t>
        </is>
      </c>
      <c r="D11" s="88">
        <f>Blend_Properties!$F$8</f>
        <v/>
      </c>
      <c r="E11" s="88">
        <f>TEA_Hydraulics!D7</f>
        <v/>
      </c>
      <c r="F11" s="82">
        <f>(Global_Assumptions!$B$44*Global_Assumptions!$B$45*1000000)*TEA_Hydraulics!$E$3</f>
        <v/>
      </c>
      <c r="G11" s="82">
        <f>E11*Global_Assumptions!$B$39*1000000*(Blend_Properties!$F$8*Global_Assumptions!$B$38/8760/1000)</f>
        <v/>
      </c>
      <c r="H11" s="82">
        <f>Global_Assumptions!$B$47*1000000+Blend_Properties!$F$8/365*Global_Assumptions!$B$49*Global_Assumptions!$B$48</f>
        <v/>
      </c>
      <c r="I11" s="82">
        <f>(F11+G11+H11)*Global_Assumptions!$B$5</f>
        <v/>
      </c>
      <c r="J11" s="82">
        <f>Blend_Properties!$F$8*Global_Assumptions!$B$38*Global_Assumptions!$B$19 + G11*Global_Assumptions!$B$41 + F11*Global_Assumptions!$B$50 + Global_Assumptions!$B$58*TEA_Hydraulics!$E$3 + Blend_Properties!$H$8*Global_Assumptions!$B$33*Global_Assumptions!$B$31</f>
        <v/>
      </c>
      <c r="K11" s="75">
        <f>IF(D11&gt;0,Global_Assumptions!$B$13+(I11+J11)/(D11*Global_Assumptions!$B$11),0)</f>
        <v/>
      </c>
      <c r="L11" s="82">
        <f>Blend_Properties!$H$8*Global_Assumptions!$B$33*Global_Assumptions!$B$31</f>
        <v/>
      </c>
      <c r="M11" s="79">
        <f>IF(Blend_Properties!$G$8&gt;0,(I11+J11)/Blend_Properties!$G$8,0)</f>
        <v/>
      </c>
      <c r="N11" s="88">
        <f>Global_Assumptions!$B$33</f>
        <v/>
      </c>
    </row>
    <row r="12" ht="15" customHeight="1" s="45">
      <c r="A12" s="52" t="n">
        <v>10</v>
      </c>
      <c r="B12" s="88">
        <f>TEA_Hydraulics!$E$3</f>
        <v/>
      </c>
      <c r="C12" s="51" t="inlineStr">
        <is>
          <t>new</t>
        </is>
      </c>
      <c r="D12" s="88">
        <f>Blend_Properties!$F$8</f>
        <v/>
      </c>
      <c r="E12" s="88">
        <f>TEA_Hydraulics!D7</f>
        <v/>
      </c>
      <c r="F12" s="82">
        <f>(Global_Assumptions!$B$44*Global_Assumptions!$B$46*1000000)*TEA_Hydraulics!$E$3</f>
        <v/>
      </c>
      <c r="G12" s="82">
        <f>E12*Global_Assumptions!$B$39*1000000*(Blend_Properties!$F$8*Global_Assumptions!$B$38/8760/1000)</f>
        <v/>
      </c>
      <c r="H12" s="82">
        <f>Global_Assumptions!$B$47*1000000+Blend_Properties!$F$8/365*Global_Assumptions!$B$49*Global_Assumptions!$B$48</f>
        <v/>
      </c>
      <c r="I12" s="82">
        <f>(F12+G12+H12)*Global_Assumptions!$B$5</f>
        <v/>
      </c>
      <c r="J12" s="82">
        <f>Blend_Properties!$F$8*Global_Assumptions!$B$38*Global_Assumptions!$B$19 + G12*Global_Assumptions!$B$41 + F12*Global_Assumptions!$B$50 + Global_Assumptions!$B$59*TEA_Hydraulics!$E$3 + Blend_Properties!$H$8*Global_Assumptions!$B$33*Global_Assumptions!$B$31</f>
        <v/>
      </c>
      <c r="K12" s="75">
        <f>IF(D12&gt;0,Global_Assumptions!$B$13+(I12+J12)/(D12*Global_Assumptions!$B$11),0)</f>
        <v/>
      </c>
      <c r="L12" s="82">
        <f>Blend_Properties!$H$8*Global_Assumptions!$B$33*Global_Assumptions!$B$31</f>
        <v/>
      </c>
      <c r="M12" s="79">
        <f>IF(Blend_Properties!$G$8&gt;0,(I12+J12)/Blend_Properties!$G$8,0)</f>
        <v/>
      </c>
      <c r="N12" s="88">
        <f>Global_Assumptions!$B$33</f>
        <v/>
      </c>
    </row>
    <row r="13" ht="15" customHeight="1" s="45">
      <c r="A13" s="52" t="n">
        <v>20</v>
      </c>
      <c r="B13" s="88">
        <f>TEA_Hydraulics!$B$3</f>
        <v/>
      </c>
      <c r="C13" s="51" t="inlineStr">
        <is>
          <t>retrofit</t>
        </is>
      </c>
      <c r="D13" s="88">
        <f>Blend_Properties!$F$9</f>
        <v/>
      </c>
      <c r="E13" s="88">
        <f>TEA_Hydraulics!C8</f>
        <v/>
      </c>
      <c r="F13" s="82">
        <f>(Global_Assumptions!$B$44*Global_Assumptions!$B$45*1000000)*TEA_Hydraulics!$B$3</f>
        <v/>
      </c>
      <c r="G13" s="82" t="n">
        <v>0</v>
      </c>
      <c r="H13" s="82">
        <f>Global_Assumptions!$B$47*1000000+Blend_Properties!$F$9/365*Global_Assumptions!$B$49*Global_Assumptions!$B$48</f>
        <v/>
      </c>
      <c r="I13" s="82">
        <f>(F13+G13+H13)*Global_Assumptions!$B$5</f>
        <v/>
      </c>
      <c r="J13" s="82">
        <f>Blend_Properties!$F$9*Global_Assumptions!$B$38*Global_Assumptions!$B$19 + G13*Global_Assumptions!$B$41 + F13*Global_Assumptions!$B$50 + Global_Assumptions!$B$58*TEA_Hydraulics!$B$3 + Blend_Properties!$H$9*Global_Assumptions!$B$33*Global_Assumptions!$B$31</f>
        <v/>
      </c>
      <c r="K13" s="75">
        <f>IF(D13&gt;0,Global_Assumptions!$B$13+(I13+J13)/(D13*Global_Assumptions!$B$11),0)</f>
        <v/>
      </c>
      <c r="L13" s="82">
        <f>Blend_Properties!$H$9*Global_Assumptions!$B$33*Global_Assumptions!$B$31</f>
        <v/>
      </c>
      <c r="M13" s="79">
        <f>IF(Blend_Properties!$G$9&gt;0,(I13+J13)/Blend_Properties!$G$9,0)</f>
        <v/>
      </c>
      <c r="N13" s="88">
        <f>Global_Assumptions!$B$33</f>
        <v/>
      </c>
    </row>
    <row r="14" ht="15" customHeight="1" s="45">
      <c r="A14" s="52" t="n">
        <v>20</v>
      </c>
      <c r="B14" s="88">
        <f>TEA_Hydraulics!$E$3</f>
        <v/>
      </c>
      <c r="C14" s="51" t="inlineStr">
        <is>
          <t>retrofit</t>
        </is>
      </c>
      <c r="D14" s="88">
        <f>Blend_Properties!$F$9</f>
        <v/>
      </c>
      <c r="E14" s="88">
        <f>TEA_Hydraulics!D8</f>
        <v/>
      </c>
      <c r="F14" s="82">
        <f>(Global_Assumptions!$B$44*Global_Assumptions!$B$45*1000000)*TEA_Hydraulics!$E$3</f>
        <v/>
      </c>
      <c r="G14" s="82">
        <f>E14*Global_Assumptions!$B$39*1000000*(Blend_Properties!$F$9*Global_Assumptions!$B$38/8760/1000)</f>
        <v/>
      </c>
      <c r="H14" s="82">
        <f>Global_Assumptions!$B$47*1000000+Blend_Properties!$F$9/365*Global_Assumptions!$B$49*Global_Assumptions!$B$48</f>
        <v/>
      </c>
      <c r="I14" s="82">
        <f>(F14+G14+H14)*Global_Assumptions!$B$5</f>
        <v/>
      </c>
      <c r="J14" s="82">
        <f>Blend_Properties!$F$9*Global_Assumptions!$B$38*Global_Assumptions!$B$19 + G14*Global_Assumptions!$B$41 + F14*Global_Assumptions!$B$50 + Global_Assumptions!$B$58*TEA_Hydraulics!$E$3 + Blend_Properties!$H$9*Global_Assumptions!$B$33*Global_Assumptions!$B$31</f>
        <v/>
      </c>
      <c r="K14" s="75">
        <f>IF(D14&gt;0,Global_Assumptions!$B$13+(I14+J14)/(D14*Global_Assumptions!$B$11),0)</f>
        <v/>
      </c>
      <c r="L14" s="82">
        <f>Blend_Properties!$H$9*Global_Assumptions!$B$33*Global_Assumptions!$B$31</f>
        <v/>
      </c>
      <c r="M14" s="79">
        <f>IF(Blend_Properties!$G$9&gt;0,(I14+J14)/Blend_Properties!$G$9,0)</f>
        <v/>
      </c>
      <c r="N14" s="88">
        <f>Global_Assumptions!$B$33</f>
        <v/>
      </c>
    </row>
    <row r="15" ht="15" customHeight="1" s="45">
      <c r="A15" s="52" t="n">
        <v>20</v>
      </c>
      <c r="B15" s="88">
        <f>TEA_Hydraulics!$E$3</f>
        <v/>
      </c>
      <c r="C15" s="51" t="inlineStr">
        <is>
          <t>new</t>
        </is>
      </c>
      <c r="D15" s="88">
        <f>Blend_Properties!$F$9</f>
        <v/>
      </c>
      <c r="E15" s="88">
        <f>TEA_Hydraulics!D8</f>
        <v/>
      </c>
      <c r="F15" s="82">
        <f>(Global_Assumptions!$B$44*Global_Assumptions!$B$46*1000000)*TEA_Hydraulics!$E$3</f>
        <v/>
      </c>
      <c r="G15" s="82">
        <f>E15*Global_Assumptions!$B$39*1000000*(Blend_Properties!$F$9*Global_Assumptions!$B$38/8760/1000)</f>
        <v/>
      </c>
      <c r="H15" s="82">
        <f>Global_Assumptions!$B$47*1000000+Blend_Properties!$F$9/365*Global_Assumptions!$B$49*Global_Assumptions!$B$48</f>
        <v/>
      </c>
      <c r="I15" s="82">
        <f>(F15+G15+H15)*Global_Assumptions!$B$5</f>
        <v/>
      </c>
      <c r="J15" s="82">
        <f>Blend_Properties!$F$9*Global_Assumptions!$B$38*Global_Assumptions!$B$19 + G15*Global_Assumptions!$B$41 + F15*Global_Assumptions!$B$50 + Global_Assumptions!$B$59*TEA_Hydraulics!$E$3 + Blend_Properties!$H$9*Global_Assumptions!$B$33*Global_Assumptions!$B$31</f>
        <v/>
      </c>
      <c r="K15" s="75">
        <f>IF(D15&gt;0,Global_Assumptions!$B$13+(I15+J15)/(D15*Global_Assumptions!$B$11),0)</f>
        <v/>
      </c>
      <c r="L15" s="82">
        <f>Blend_Properties!$H$9*Global_Assumptions!$B$33*Global_Assumptions!$B$31</f>
        <v/>
      </c>
      <c r="M15" s="79">
        <f>IF(Blend_Properties!$G$9&gt;0,(I15+J15)/Blend_Properties!$G$9,0)</f>
        <v/>
      </c>
      <c r="N15" s="88">
        <f>Global_Assumptions!$B$33</f>
        <v/>
      </c>
    </row>
    <row r="16" ht="15" customHeight="1" s="45">
      <c r="A16" s="52" t="n">
        <v>30</v>
      </c>
      <c r="B16" s="88">
        <f>TEA_Hydraulics!$B$3</f>
        <v/>
      </c>
      <c r="C16" s="51" t="inlineStr">
        <is>
          <t>retrofit</t>
        </is>
      </c>
      <c r="D16" s="88">
        <f>Blend_Properties!$F$10</f>
        <v/>
      </c>
      <c r="E16" s="88">
        <f>TEA_Hydraulics!C9</f>
        <v/>
      </c>
      <c r="F16" s="82">
        <f>(Global_Assumptions!$B$44*Global_Assumptions!$B$45*1000000)*TEA_Hydraulics!$B$3</f>
        <v/>
      </c>
      <c r="G16" s="82" t="n">
        <v>0</v>
      </c>
      <c r="H16" s="82">
        <f>Global_Assumptions!$B$47*1000000+Blend_Properties!$F$10/365*Global_Assumptions!$B$49*Global_Assumptions!$B$48</f>
        <v/>
      </c>
      <c r="I16" s="82">
        <f>(F16+G16+H16)*Global_Assumptions!$B$5</f>
        <v/>
      </c>
      <c r="J16" s="82">
        <f>Blend_Properties!$F$10*Global_Assumptions!$B$38*Global_Assumptions!$B$19 + G16*Global_Assumptions!$B$41 + F16*Global_Assumptions!$B$50 + Global_Assumptions!$B$58*TEA_Hydraulics!$B$3 + Blend_Properties!$H$10*Global_Assumptions!$B$33*Global_Assumptions!$B$31</f>
        <v/>
      </c>
      <c r="K16" s="75">
        <f>IF(D16&gt;0,Global_Assumptions!$B$13+(I16+J16)/(D16*Global_Assumptions!$B$11),0)</f>
        <v/>
      </c>
      <c r="L16" s="82">
        <f>Blend_Properties!$H$10*Global_Assumptions!$B$33*Global_Assumptions!$B$31</f>
        <v/>
      </c>
      <c r="M16" s="79">
        <f>IF(Blend_Properties!$G$10&gt;0,(I16+J16)/Blend_Properties!$G$10,0)</f>
        <v/>
      </c>
      <c r="N16" s="88">
        <f>Global_Assumptions!$B$33</f>
        <v/>
      </c>
    </row>
    <row r="17" ht="15" customHeight="1" s="45">
      <c r="A17" s="52" t="n">
        <v>30</v>
      </c>
      <c r="B17" s="88">
        <f>TEA_Hydraulics!$E$3</f>
        <v/>
      </c>
      <c r="C17" s="51" t="inlineStr">
        <is>
          <t>retrofit</t>
        </is>
      </c>
      <c r="D17" s="88">
        <f>Blend_Properties!$F$10</f>
        <v/>
      </c>
      <c r="E17" s="88">
        <f>TEA_Hydraulics!D9</f>
        <v/>
      </c>
      <c r="F17" s="82">
        <f>(Global_Assumptions!$B$44*Global_Assumptions!$B$45*1000000)*TEA_Hydraulics!$E$3</f>
        <v/>
      </c>
      <c r="G17" s="82">
        <f>E17*Global_Assumptions!$B$39*1000000*(Blend_Properties!$F$10*Global_Assumptions!$B$38/8760/1000)</f>
        <v/>
      </c>
      <c r="H17" s="82">
        <f>Global_Assumptions!$B$47*1000000+Blend_Properties!$F$10/365*Global_Assumptions!$B$49*Global_Assumptions!$B$48</f>
        <v/>
      </c>
      <c r="I17" s="82">
        <f>(F17+G17+H17)*Global_Assumptions!$B$5</f>
        <v/>
      </c>
      <c r="J17" s="82">
        <f>Blend_Properties!$F$10*Global_Assumptions!$B$38*Global_Assumptions!$B$19 + G17*Global_Assumptions!$B$41 + F17*Global_Assumptions!$B$50 + Global_Assumptions!$B$58*TEA_Hydraulics!$E$3 + Blend_Properties!$H$10*Global_Assumptions!$B$33*Global_Assumptions!$B$31</f>
        <v/>
      </c>
      <c r="K17" s="75">
        <f>IF(D17&gt;0,Global_Assumptions!$B$13+(I17+J17)/(D17*Global_Assumptions!$B$11),0)</f>
        <v/>
      </c>
      <c r="L17" s="82">
        <f>Blend_Properties!$H$10*Global_Assumptions!$B$33*Global_Assumptions!$B$31</f>
        <v/>
      </c>
      <c r="M17" s="79">
        <f>IF(Blend_Properties!$G$10&gt;0,(I17+J17)/Blend_Properties!$G$10,0)</f>
        <v/>
      </c>
      <c r="N17" s="88">
        <f>Global_Assumptions!$B$33</f>
        <v/>
      </c>
    </row>
    <row r="18" ht="15" customHeight="1" s="45">
      <c r="A18" s="52" t="n">
        <v>30</v>
      </c>
      <c r="B18" s="88">
        <f>TEA_Hydraulics!$E$3</f>
        <v/>
      </c>
      <c r="C18" s="51" t="inlineStr">
        <is>
          <t>new</t>
        </is>
      </c>
      <c r="D18" s="88">
        <f>Blend_Properties!$F$10</f>
        <v/>
      </c>
      <c r="E18" s="88">
        <f>TEA_Hydraulics!D9</f>
        <v/>
      </c>
      <c r="F18" s="82">
        <f>(Global_Assumptions!$B$44*Global_Assumptions!$B$46*1000000)*TEA_Hydraulics!$E$3</f>
        <v/>
      </c>
      <c r="G18" s="82">
        <f>E18*Global_Assumptions!$B$39*1000000*(Blend_Properties!$F$10*Global_Assumptions!$B$38/8760/1000)</f>
        <v/>
      </c>
      <c r="H18" s="82">
        <f>Global_Assumptions!$B$47*1000000+Blend_Properties!$F$10/365*Global_Assumptions!$B$49*Global_Assumptions!$B$48</f>
        <v/>
      </c>
      <c r="I18" s="82">
        <f>(F18+G18+H18)*Global_Assumptions!$B$5</f>
        <v/>
      </c>
      <c r="J18" s="82">
        <f>Blend_Properties!$F$10*Global_Assumptions!$B$38*Global_Assumptions!$B$19 + G18*Global_Assumptions!$B$41 + F18*Global_Assumptions!$B$50 + Global_Assumptions!$B$59*TEA_Hydraulics!$E$3 + Blend_Properties!$H$10*Global_Assumptions!$B$33*Global_Assumptions!$B$31</f>
        <v/>
      </c>
      <c r="K18" s="75">
        <f>IF(D18&gt;0,Global_Assumptions!$B$13+(I18+J18)/(D18*Global_Assumptions!$B$11),0)</f>
        <v/>
      </c>
      <c r="L18" s="82">
        <f>Blend_Properties!$H$10*Global_Assumptions!$B$33*Global_Assumptions!$B$31</f>
        <v/>
      </c>
      <c r="M18" s="79">
        <f>IF(Blend_Properties!$G$10&gt;0,(I18+J18)/Blend_Properties!$G$10,0)</f>
        <v/>
      </c>
      <c r="N18" s="88">
        <f>Global_Assumptions!$B$33</f>
        <v/>
      </c>
    </row>
    <row r="19" ht="15" customHeight="1" s="45">
      <c r="A19" s="52" t="n">
        <v>50</v>
      </c>
      <c r="B19" s="88">
        <f>TEA_Hydraulics!$B$3</f>
        <v/>
      </c>
      <c r="C19" s="51" t="inlineStr">
        <is>
          <t>retrofit</t>
        </is>
      </c>
      <c r="D19" s="88">
        <f>Blend_Properties!$F$11</f>
        <v/>
      </c>
      <c r="E19" s="88">
        <f>TEA_Hydraulics!C10</f>
        <v/>
      </c>
      <c r="F19" s="82">
        <f>(Global_Assumptions!$B$44*Global_Assumptions!$B$45*1000000)*TEA_Hydraulics!$B$3</f>
        <v/>
      </c>
      <c r="G19" s="82" t="n">
        <v>0</v>
      </c>
      <c r="H19" s="82">
        <f>Global_Assumptions!$B$47*1000000+Blend_Properties!$F$11/365*Global_Assumptions!$B$49*Global_Assumptions!$B$48</f>
        <v/>
      </c>
      <c r="I19" s="82">
        <f>(F19+G19+H19)*Global_Assumptions!$B$5</f>
        <v/>
      </c>
      <c r="J19" s="82">
        <f>Blend_Properties!$F$11*Global_Assumptions!$B$38*Global_Assumptions!$B$19 + G19*Global_Assumptions!$B$41 + F19*Global_Assumptions!$B$50 + Global_Assumptions!$B$58*TEA_Hydraulics!$B$3 + Blend_Properties!$H$11*Global_Assumptions!$B$33*Global_Assumptions!$B$31</f>
        <v/>
      </c>
      <c r="K19" s="75">
        <f>IF(D19&gt;0,Global_Assumptions!$B$13+(I19+J19)/(D19*Global_Assumptions!$B$11),0)</f>
        <v/>
      </c>
      <c r="L19" s="82">
        <f>Blend_Properties!$H$11*Global_Assumptions!$B$33*Global_Assumptions!$B$31</f>
        <v/>
      </c>
      <c r="M19" s="79">
        <f>IF(Blend_Properties!$G$11&gt;0,(I19+J19)/Blend_Properties!$G$11,0)</f>
        <v/>
      </c>
      <c r="N19" s="88">
        <f>Global_Assumptions!$B$33</f>
        <v/>
      </c>
    </row>
    <row r="20" ht="15" customHeight="1" s="45">
      <c r="A20" s="52" t="n">
        <v>50</v>
      </c>
      <c r="B20" s="88">
        <f>TEA_Hydraulics!$E$3</f>
        <v/>
      </c>
      <c r="C20" s="51" t="inlineStr">
        <is>
          <t>retrofit</t>
        </is>
      </c>
      <c r="D20" s="88">
        <f>Blend_Properties!$F$11</f>
        <v/>
      </c>
      <c r="E20" s="88">
        <f>TEA_Hydraulics!D10</f>
        <v/>
      </c>
      <c r="F20" s="82">
        <f>(Global_Assumptions!$B$44*Global_Assumptions!$B$45*1000000)*TEA_Hydraulics!$E$3</f>
        <v/>
      </c>
      <c r="G20" s="82">
        <f>E20*Global_Assumptions!$B$39*1000000*(Blend_Properties!$F$11*Global_Assumptions!$B$38/8760/1000)</f>
        <v/>
      </c>
      <c r="H20" s="82">
        <f>Global_Assumptions!$B$47*1000000+Blend_Properties!$F$11/365*Global_Assumptions!$B$49*Global_Assumptions!$B$48</f>
        <v/>
      </c>
      <c r="I20" s="82">
        <f>(F20+G20+H20)*Global_Assumptions!$B$5</f>
        <v/>
      </c>
      <c r="J20" s="82">
        <f>Blend_Properties!$F$11*Global_Assumptions!$B$38*Global_Assumptions!$B$19 + G20*Global_Assumptions!$B$41 + F20*Global_Assumptions!$B$50 + Global_Assumptions!$B$58*TEA_Hydraulics!$E$3 + Blend_Properties!$H$11*Global_Assumptions!$B$33*Global_Assumptions!$B$31</f>
        <v/>
      </c>
      <c r="K20" s="75">
        <f>IF(D20&gt;0,Global_Assumptions!$B$13+(I20+J20)/(D20*Global_Assumptions!$B$11),0)</f>
        <v/>
      </c>
      <c r="L20" s="82">
        <f>Blend_Properties!$H$11*Global_Assumptions!$B$33*Global_Assumptions!$B$31</f>
        <v/>
      </c>
      <c r="M20" s="79">
        <f>IF(Blend_Properties!$G$11&gt;0,(I20+J20)/Blend_Properties!$G$11,0)</f>
        <v/>
      </c>
      <c r="N20" s="88">
        <f>Global_Assumptions!$B$33</f>
        <v/>
      </c>
    </row>
    <row r="21" ht="15" customHeight="1" s="45">
      <c r="A21" s="52" t="n">
        <v>50</v>
      </c>
      <c r="B21" s="88">
        <f>TEA_Hydraulics!$E$3</f>
        <v/>
      </c>
      <c r="C21" s="51" t="inlineStr">
        <is>
          <t>new</t>
        </is>
      </c>
      <c r="D21" s="88">
        <f>Blend_Properties!$F$11</f>
        <v/>
      </c>
      <c r="E21" s="88">
        <f>TEA_Hydraulics!D10</f>
        <v/>
      </c>
      <c r="F21" s="82">
        <f>(Global_Assumptions!$B$44*Global_Assumptions!$B$46*1000000)*TEA_Hydraulics!$E$3</f>
        <v/>
      </c>
      <c r="G21" s="82">
        <f>E21*Global_Assumptions!$B$39*1000000*(Blend_Properties!$F$11*Global_Assumptions!$B$38/8760/1000)</f>
        <v/>
      </c>
      <c r="H21" s="82">
        <f>Global_Assumptions!$B$47*1000000+Blend_Properties!$F$11/365*Global_Assumptions!$B$49*Global_Assumptions!$B$48</f>
        <v/>
      </c>
      <c r="I21" s="82">
        <f>(F21+G21+H21)*Global_Assumptions!$B$5</f>
        <v/>
      </c>
      <c r="J21" s="82">
        <f>Blend_Properties!$F$11*Global_Assumptions!$B$38*Global_Assumptions!$B$19 + G21*Global_Assumptions!$B$41 + F21*Global_Assumptions!$B$50 + Global_Assumptions!$B$59*TEA_Hydraulics!$E$3 + Blend_Properties!$H$11*Global_Assumptions!$B$33*Global_Assumptions!$B$31</f>
        <v/>
      </c>
      <c r="K21" s="75">
        <f>IF(D21&gt;0,Global_Assumptions!$B$13+(I21+J21)/(D21*Global_Assumptions!$B$11),0)</f>
        <v/>
      </c>
      <c r="L21" s="82">
        <f>Blend_Properties!$H$11*Global_Assumptions!$B$33*Global_Assumptions!$B$31</f>
        <v/>
      </c>
      <c r="M21" s="79">
        <f>IF(Blend_Properties!$G$11&gt;0,(I21+J21)/Blend_Properties!$G$11,0)</f>
        <v/>
      </c>
      <c r="N21" s="88">
        <f>Global_Assumptions!$B$33</f>
        <v/>
      </c>
    </row>
    <row r="22" ht="15" customHeight="1" s="45">
      <c r="A22" s="52" t="n">
        <v>75</v>
      </c>
      <c r="B22" s="88">
        <f>TEA_Hydraulics!$B$3</f>
        <v/>
      </c>
      <c r="C22" s="51" t="inlineStr">
        <is>
          <t>retrofit</t>
        </is>
      </c>
      <c r="D22" s="88">
        <f>Blend_Properties!$F$12</f>
        <v/>
      </c>
      <c r="E22" s="88">
        <f>TEA_Hydraulics!C11</f>
        <v/>
      </c>
      <c r="F22" s="82">
        <f>(Global_Assumptions!$B$44*Global_Assumptions!$B$45*1000000)*TEA_Hydraulics!$B$3</f>
        <v/>
      </c>
      <c r="G22" s="82" t="n">
        <v>0</v>
      </c>
      <c r="H22" s="82">
        <f>Global_Assumptions!$B$47*1000000+Blend_Properties!$F$12/365*Global_Assumptions!$B$49*Global_Assumptions!$B$48</f>
        <v/>
      </c>
      <c r="I22" s="82">
        <f>(F22+G22+H22)*Global_Assumptions!$B$5</f>
        <v/>
      </c>
      <c r="J22" s="82">
        <f>Blend_Properties!$F$12*Global_Assumptions!$B$38*Global_Assumptions!$B$19 + G22*Global_Assumptions!$B$41 + F22*Global_Assumptions!$B$50 + Global_Assumptions!$B$58*TEA_Hydraulics!$B$3 + Blend_Properties!$H$12*Global_Assumptions!$B$33*Global_Assumptions!$B$31</f>
        <v/>
      </c>
      <c r="K22" s="75">
        <f>IF(D22&gt;0,Global_Assumptions!$B$13+(I22+J22)/(D22*Global_Assumptions!$B$11),0)</f>
        <v/>
      </c>
      <c r="L22" s="82">
        <f>Blend_Properties!$H$12*Global_Assumptions!$B$33*Global_Assumptions!$B$31</f>
        <v/>
      </c>
      <c r="M22" s="79">
        <f>IF(Blend_Properties!$G$12&gt;0,(I22+J22)/Blend_Properties!$G$12,0)</f>
        <v/>
      </c>
      <c r="N22" s="88">
        <f>Global_Assumptions!$B$33</f>
        <v/>
      </c>
    </row>
    <row r="23" ht="15" customHeight="1" s="45">
      <c r="A23" s="52" t="n">
        <v>75</v>
      </c>
      <c r="B23" s="88">
        <f>TEA_Hydraulics!$E$3</f>
        <v/>
      </c>
      <c r="C23" s="51" t="inlineStr">
        <is>
          <t>retrofit</t>
        </is>
      </c>
      <c r="D23" s="88">
        <f>Blend_Properties!$F$12</f>
        <v/>
      </c>
      <c r="E23" s="88">
        <f>TEA_Hydraulics!D11</f>
        <v/>
      </c>
      <c r="F23" s="82">
        <f>(Global_Assumptions!$B$44*Global_Assumptions!$B$45*1000000)*TEA_Hydraulics!$E$3</f>
        <v/>
      </c>
      <c r="G23" s="82">
        <f>E23*Global_Assumptions!$B$39*1000000*(Blend_Properties!$F$12*Global_Assumptions!$B$38/8760/1000)</f>
        <v/>
      </c>
      <c r="H23" s="82">
        <f>Global_Assumptions!$B$47*1000000+Blend_Properties!$F$12/365*Global_Assumptions!$B$49*Global_Assumptions!$B$48</f>
        <v/>
      </c>
      <c r="I23" s="82">
        <f>(F23+G23+H23)*Global_Assumptions!$B$5</f>
        <v/>
      </c>
      <c r="J23" s="82">
        <f>Blend_Properties!$F$12*Global_Assumptions!$B$38*Global_Assumptions!$B$19 + G23*Global_Assumptions!$B$41 + F23*Global_Assumptions!$B$50 + Global_Assumptions!$B$58*TEA_Hydraulics!$E$3 + Blend_Properties!$H$12*Global_Assumptions!$B$33*Global_Assumptions!$B$31</f>
        <v/>
      </c>
      <c r="K23" s="75">
        <f>IF(D23&gt;0,Global_Assumptions!$B$13+(I23+J23)/(D23*Global_Assumptions!$B$11),0)</f>
        <v/>
      </c>
      <c r="L23" s="82">
        <f>Blend_Properties!$H$12*Global_Assumptions!$B$33*Global_Assumptions!$B$31</f>
        <v/>
      </c>
      <c r="M23" s="79">
        <f>IF(Blend_Properties!$G$12&gt;0,(I23+J23)/Blend_Properties!$G$12,0)</f>
        <v/>
      </c>
      <c r="N23" s="88">
        <f>Global_Assumptions!$B$33</f>
        <v/>
      </c>
    </row>
    <row r="24" ht="15" customHeight="1" s="45">
      <c r="A24" s="52" t="n">
        <v>75</v>
      </c>
      <c r="B24" s="88">
        <f>TEA_Hydraulics!$E$3</f>
        <v/>
      </c>
      <c r="C24" s="51" t="inlineStr">
        <is>
          <t>new</t>
        </is>
      </c>
      <c r="D24" s="88">
        <f>Blend_Properties!$F$12</f>
        <v/>
      </c>
      <c r="E24" s="88">
        <f>TEA_Hydraulics!D11</f>
        <v/>
      </c>
      <c r="F24" s="82">
        <f>(Global_Assumptions!$B$44*Global_Assumptions!$B$46*1000000)*TEA_Hydraulics!$E$3</f>
        <v/>
      </c>
      <c r="G24" s="82">
        <f>E24*Global_Assumptions!$B$39*1000000*(Blend_Properties!$F$12*Global_Assumptions!$B$38/8760/1000)</f>
        <v/>
      </c>
      <c r="H24" s="82">
        <f>Global_Assumptions!$B$47*1000000+Blend_Properties!$F$12/365*Global_Assumptions!$B$49*Global_Assumptions!$B$48</f>
        <v/>
      </c>
      <c r="I24" s="82">
        <f>(F24+G24+H24)*Global_Assumptions!$B$5</f>
        <v/>
      </c>
      <c r="J24" s="82">
        <f>Blend_Properties!$F$12*Global_Assumptions!$B$38*Global_Assumptions!$B$19 + G24*Global_Assumptions!$B$41 + F24*Global_Assumptions!$B$50 + Global_Assumptions!$B$59*TEA_Hydraulics!$E$3 + Blend_Properties!$H$12*Global_Assumptions!$B$33*Global_Assumptions!$B$31</f>
        <v/>
      </c>
      <c r="K24" s="75">
        <f>IF(D24&gt;0,Global_Assumptions!$B$13+(I24+J24)/(D24*Global_Assumptions!$B$11),0)</f>
        <v/>
      </c>
      <c r="L24" s="82">
        <f>Blend_Properties!$H$12*Global_Assumptions!$B$33*Global_Assumptions!$B$31</f>
        <v/>
      </c>
      <c r="M24" s="79">
        <f>IF(Blend_Properties!$G$12&gt;0,(I24+J24)/Blend_Properties!$G$12,0)</f>
        <v/>
      </c>
      <c r="N24" s="88">
        <f>Global_Assumptions!$B$33</f>
        <v/>
      </c>
    </row>
    <row r="25" ht="15" customHeight="1" s="45">
      <c r="A25" s="52" t="n">
        <v>100</v>
      </c>
      <c r="B25" s="88">
        <f>TEA_Hydraulics!$B$3</f>
        <v/>
      </c>
      <c r="C25" s="51" t="inlineStr">
        <is>
          <t>retrofit</t>
        </is>
      </c>
      <c r="D25" s="88">
        <f>Blend_Properties!$F$13</f>
        <v/>
      </c>
      <c r="E25" s="88">
        <f>TEA_Hydraulics!C12</f>
        <v/>
      </c>
      <c r="F25" s="82">
        <f>(Global_Assumptions!$B$44*Global_Assumptions!$B$45*1000000)*TEA_Hydraulics!$B$3</f>
        <v/>
      </c>
      <c r="G25" s="82" t="n">
        <v>0</v>
      </c>
      <c r="H25" s="82">
        <f>Global_Assumptions!$B$47*1000000+Blend_Properties!$F$13/365*Global_Assumptions!$B$49*Global_Assumptions!$B$48</f>
        <v/>
      </c>
      <c r="I25" s="82">
        <f>(F25+G25+H25)*Global_Assumptions!$B$5</f>
        <v/>
      </c>
      <c r="J25" s="82">
        <f>Blend_Properties!$F$13*Global_Assumptions!$B$38*Global_Assumptions!$B$19 + G25*Global_Assumptions!$B$41 + F25*Global_Assumptions!$B$50 + Global_Assumptions!$B$58*TEA_Hydraulics!$B$3 + Blend_Properties!$H$13*Global_Assumptions!$B$33*Global_Assumptions!$B$31</f>
        <v/>
      </c>
      <c r="K25" s="75">
        <f>IF(D25&gt;0,Global_Assumptions!$B$13+(I25+J25)/(D25*Global_Assumptions!$B$11),0)</f>
        <v/>
      </c>
      <c r="L25" s="82">
        <f>Blend_Properties!$H$13*Global_Assumptions!$B$33*Global_Assumptions!$B$31</f>
        <v/>
      </c>
      <c r="M25" s="79">
        <f>IF(Blend_Properties!$G$13&gt;0,(I25+J25)/Blend_Properties!$G$13,0)</f>
        <v/>
      </c>
      <c r="N25" s="88">
        <f>Global_Assumptions!$B$33</f>
        <v/>
      </c>
    </row>
    <row r="26" ht="15" customHeight="1" s="45">
      <c r="A26" s="52" t="n">
        <v>100</v>
      </c>
      <c r="B26" s="88">
        <f>TEA_Hydraulics!$E$3</f>
        <v/>
      </c>
      <c r="C26" s="51" t="inlineStr">
        <is>
          <t>retrofit</t>
        </is>
      </c>
      <c r="D26" s="88">
        <f>Blend_Properties!$F$13</f>
        <v/>
      </c>
      <c r="E26" s="88">
        <f>TEA_Hydraulics!D12</f>
        <v/>
      </c>
      <c r="F26" s="82">
        <f>(Global_Assumptions!$B$44*Global_Assumptions!$B$45*1000000)*TEA_Hydraulics!$E$3</f>
        <v/>
      </c>
      <c r="G26" s="82">
        <f>E26*Global_Assumptions!$B$39*1000000*(Blend_Properties!$F$13*Global_Assumptions!$B$38/8760/1000)</f>
        <v/>
      </c>
      <c r="H26" s="82">
        <f>Global_Assumptions!$B$47*1000000+Blend_Properties!$F$13/365*Global_Assumptions!$B$49*Global_Assumptions!$B$48</f>
        <v/>
      </c>
      <c r="I26" s="82">
        <f>(F26+G26+H26)*Global_Assumptions!$B$5</f>
        <v/>
      </c>
      <c r="J26" s="82">
        <f>Blend_Properties!$F$13*Global_Assumptions!$B$38*Global_Assumptions!$B$19 + G26*Global_Assumptions!$B$41 + F26*Global_Assumptions!$B$50 + Global_Assumptions!$B$58*TEA_Hydraulics!$E$3 + Blend_Properties!$H$13*Global_Assumptions!$B$33*Global_Assumptions!$B$31</f>
        <v/>
      </c>
      <c r="K26" s="75">
        <f>IF(D26&gt;0,Global_Assumptions!$B$13+(I26+J26)/(D26*Global_Assumptions!$B$11),0)</f>
        <v/>
      </c>
      <c r="L26" s="82">
        <f>Blend_Properties!$H$13*Global_Assumptions!$B$33*Global_Assumptions!$B$31</f>
        <v/>
      </c>
      <c r="M26" s="79">
        <f>IF(Blend_Properties!$G$13&gt;0,(I26+J26)/Blend_Properties!$G$13,0)</f>
        <v/>
      </c>
      <c r="N26" s="88">
        <f>Global_Assumptions!$B$33</f>
        <v/>
      </c>
    </row>
    <row r="27" ht="15" customHeight="1" s="45">
      <c r="A27" s="52" t="n">
        <v>100</v>
      </c>
      <c r="B27" s="88">
        <f>TEA_Hydraulics!$E$3</f>
        <v/>
      </c>
      <c r="C27" s="51" t="inlineStr">
        <is>
          <t>new</t>
        </is>
      </c>
      <c r="D27" s="88">
        <f>Blend_Properties!$F$13</f>
        <v/>
      </c>
      <c r="E27" s="88">
        <f>TEA_Hydraulics!D12</f>
        <v/>
      </c>
      <c r="F27" s="82">
        <f>(Global_Assumptions!$B$44*Global_Assumptions!$B$46*1000000)*TEA_Hydraulics!$E$3</f>
        <v/>
      </c>
      <c r="G27" s="82">
        <f>E27*Global_Assumptions!$B$39*1000000*(Blend_Properties!$F$13*Global_Assumptions!$B$38/8760/1000)</f>
        <v/>
      </c>
      <c r="H27" s="82">
        <f>Global_Assumptions!$B$47*1000000+Blend_Properties!$F$13/365*Global_Assumptions!$B$49*Global_Assumptions!$B$48</f>
        <v/>
      </c>
      <c r="I27" s="82">
        <f>(F27+G27+H27)*Global_Assumptions!$B$5</f>
        <v/>
      </c>
      <c r="J27" s="82">
        <f>Blend_Properties!$F$13*Global_Assumptions!$B$38*Global_Assumptions!$B$19 + G27*Global_Assumptions!$B$41 + F27*Global_Assumptions!$B$50 + Global_Assumptions!$B$59*TEA_Hydraulics!$E$3 + Blend_Properties!$H$13*Global_Assumptions!$B$33*Global_Assumptions!$B$31</f>
        <v/>
      </c>
      <c r="K27" s="75">
        <f>IF(D27&gt;0,Global_Assumptions!$B$13+(I27+J27)/(D27*Global_Assumptions!$B$11),0)</f>
        <v/>
      </c>
      <c r="L27" s="82">
        <f>Blend_Properties!$H$13*Global_Assumptions!$B$33*Global_Assumptions!$B$31</f>
        <v/>
      </c>
      <c r="M27" s="79">
        <f>IF(Blend_Properties!$G$13&gt;0,(I27+J27)/Blend_Properties!$G$13,0)</f>
        <v/>
      </c>
      <c r="N27" s="88">
        <f>Global_Assumptions!$B$33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T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7" customWidth="1" style="44" min="1" max="1"/>
    <col width="7" customWidth="1" style="44" min="2" max="2"/>
    <col width="10" customWidth="1" style="44" min="3" max="3"/>
    <col width="6" customWidth="1" style="44" min="4" max="4"/>
    <col width="9" customWidth="1" style="44" min="5" max="5"/>
    <col width="11" customWidth="1" style="44" min="6" max="8"/>
    <col width="10" customWidth="1" style="44" min="9" max="9"/>
    <col width="12" customWidth="1" style="44" min="10" max="10"/>
    <col width="10" customWidth="1" style="44" min="11" max="11"/>
    <col width="11" customWidth="1" style="44" min="12" max="12"/>
    <col width="12" customWidth="1" style="44" min="13" max="13"/>
    <col width="9" customWidth="1" style="44" min="14" max="15"/>
    <col width="11" customWidth="1" style="44" min="16" max="16"/>
    <col width="14" customWidth="1" style="44" min="17" max="17"/>
    <col width="5" customWidth="1" style="44" min="18" max="19"/>
    <col width="11" customWidth="1" style="44" min="20" max="20"/>
  </cols>
  <sheetData>
    <row r="1" ht="15.75" customHeight="1" s="45">
      <c r="A1" s="46" t="inlineStr">
        <is>
          <t>50-YEAR LIFECYCLE &amp; DERIVED AVAILABILITY — UCI Microturbine</t>
        </is>
      </c>
    </row>
    <row r="2" ht="15" customHeight="1" s="45">
      <c r="A2" s="47" t="inlineStr">
        <is>
          <t>PoF rises with age and resets at condition-based maintenance (when an inspection finds PoF&gt;threshold). Availability is DERIVED from inspection + maintenance + expected-failure downtime over the 50-yr horizon (not an input).</t>
        </is>
      </c>
    </row>
    <row r="3" ht="23.25" customHeight="1" s="45">
      <c r="A3" s="55" t="inlineStr">
        <is>
          <t>Class</t>
        </is>
      </c>
      <c r="B3" s="55" t="inlineStr">
        <is>
          <t>Count</t>
        </is>
      </c>
      <c r="C3" s="55" t="inlineStr">
        <is>
          <t>Insp int (yr)</t>
        </is>
      </c>
      <c r="D3" s="55" t="inlineStr">
        <is>
          <t>Thr</t>
        </is>
      </c>
      <c r="E3" s="55" t="inlineStr">
        <is>
          <t>MTTR (h)</t>
        </is>
      </c>
      <c r="F3" s="55" t="inlineStr">
        <is>
          <t>Insp down (h)</t>
        </is>
      </c>
      <c r="G3" s="55" t="inlineStr">
        <is>
          <t>Insp $/event</t>
        </is>
      </c>
      <c r="H3" s="55" t="inlineStr">
        <is>
          <t>Maint $/event</t>
        </is>
      </c>
      <c r="I3" s="55" t="inlineStr">
        <is>
          <t>PoF20 H2</t>
        </is>
      </c>
      <c r="J3" s="55" t="inlineStr">
        <is>
          <t>lambda (/hr)</t>
        </is>
      </c>
      <c r="K3" s="55" t="inlineStr">
        <is>
          <t>MTTF (yr)</t>
        </is>
      </c>
      <c r="L3" s="55" t="inlineStr">
        <is>
          <t>Tau_thr (yr)</t>
        </is>
      </c>
      <c r="M3" s="55" t="inlineStr">
        <is>
          <t>Maint int M (yr)</t>
        </is>
      </c>
      <c r="N3" s="55" t="inlineStr">
        <is>
          <t>#Insp 50yr</t>
        </is>
      </c>
      <c r="O3" s="55" t="inlineStr">
        <is>
          <t>#Maint 50yr</t>
        </is>
      </c>
      <c r="P3" s="55" t="inlineStr">
        <is>
          <t>Failure h/yr</t>
        </is>
      </c>
      <c r="Q3" s="55" t="inlineStr">
        <is>
          <t>Downtime 50yr (h)</t>
        </is>
      </c>
      <c r="R3" s="55" t="inlineStr">
        <is>
          <t>Gen</t>
        </is>
      </c>
      <c r="S3" s="55" t="inlineStr">
        <is>
          <t>CO2</t>
        </is>
      </c>
      <c r="T3" s="55" t="inlineStr">
        <is>
          <t>(1-PoF)^n</t>
        </is>
      </c>
    </row>
    <row r="4" ht="15" customHeight="1" s="45">
      <c r="A4" s="51" t="inlineStr">
        <is>
          <t>pipe</t>
        </is>
      </c>
      <c r="B4" s="52" t="n">
        <v>1</v>
      </c>
      <c r="C4" s="52" t="n">
        <v>7</v>
      </c>
      <c r="D4" s="66" t="n">
        <v>0.3</v>
      </c>
      <c r="E4" s="52" t="n">
        <v>240</v>
      </c>
      <c r="F4" s="52" t="n">
        <v>24</v>
      </c>
      <c r="G4" s="62" t="n">
        <v>33450</v>
      </c>
      <c r="H4" s="62" t="n">
        <v>150000</v>
      </c>
      <c r="I4" s="81">
        <f>PoF_Summary!E4</f>
        <v/>
      </c>
      <c r="J4" s="78">
        <f>-LN(1-MIN(0.99,I4))/(8760*Global_Assumptions!$B$52)</f>
        <v/>
      </c>
      <c r="K4" s="75">
        <f>1/(J4*8760)</f>
        <v/>
      </c>
      <c r="L4" s="75">
        <f>-LN(1-D4)/(J4*8760)</f>
        <v/>
      </c>
      <c r="M4" s="79">
        <f>C4*CEILING(L4/C4,1)</f>
        <v/>
      </c>
      <c r="N4" s="79">
        <f>INT(Global_Assumptions!$B$63/C4)</f>
        <v/>
      </c>
      <c r="O4" s="79">
        <f>INT(Global_Assumptions!$B$63/M4)</f>
        <v/>
      </c>
      <c r="P4" s="75">
        <f>(1-EXP(-J4*8760))*E4</f>
        <v/>
      </c>
      <c r="Q4" s="79">
        <f>B4*(N4*F4+O4*E4+Global_Assumptions!$B$63*P4)</f>
        <v/>
      </c>
      <c r="R4" s="51" t="n">
        <v>0</v>
      </c>
      <c r="S4" s="51" t="n">
        <v>0</v>
      </c>
      <c r="T4" s="80">
        <f>(1-I4)^B4</f>
        <v/>
      </c>
    </row>
    <row r="5" ht="15" customHeight="1" s="45">
      <c r="A5" s="51" t="inlineStr">
        <is>
          <t>valve</t>
        </is>
      </c>
      <c r="B5" s="52" t="n">
        <v>3</v>
      </c>
      <c r="C5" s="52" t="n">
        <v>2</v>
      </c>
      <c r="D5" s="66" t="n">
        <v>0.3</v>
      </c>
      <c r="E5" s="52" t="n">
        <v>24</v>
      </c>
      <c r="F5" s="52" t="n">
        <v>4</v>
      </c>
      <c r="G5" s="62" t="n">
        <v>1500</v>
      </c>
      <c r="H5" s="62" t="n">
        <v>8000</v>
      </c>
      <c r="I5" s="81">
        <f>PoF_Summary!E5</f>
        <v/>
      </c>
      <c r="J5" s="78">
        <f>-LN(1-MIN(0.99,I5))/(8760*Global_Assumptions!$B$52)</f>
        <v/>
      </c>
      <c r="K5" s="75">
        <f>1/(J5*8760)</f>
        <v/>
      </c>
      <c r="L5" s="75">
        <f>-LN(1-D5)/(J5*8760)</f>
        <v/>
      </c>
      <c r="M5" s="79">
        <f>C5*CEILING(L5/C5,1)</f>
        <v/>
      </c>
      <c r="N5" s="79">
        <f>INT(Global_Assumptions!$B$63/C5)</f>
        <v/>
      </c>
      <c r="O5" s="79">
        <f>INT(Global_Assumptions!$B$63/M5)</f>
        <v/>
      </c>
      <c r="P5" s="75">
        <f>(1-EXP(-J5*8760))*E5</f>
        <v/>
      </c>
      <c r="Q5" s="79">
        <f>B5*(N5*F5+O5*E5+Global_Assumptions!$B$63*P5)</f>
        <v/>
      </c>
      <c r="R5" s="51" t="n">
        <v>0</v>
      </c>
      <c r="S5" s="51" t="n">
        <v>0</v>
      </c>
      <c r="T5" s="80">
        <f>(1-I5)^B5</f>
        <v/>
      </c>
    </row>
    <row r="6" ht="15" customHeight="1" s="45">
      <c r="A6" s="51" t="inlineStr">
        <is>
          <t>regulator</t>
        </is>
      </c>
      <c r="B6" s="52" t="n">
        <v>1</v>
      </c>
      <c r="C6" s="52" t="n">
        <v>3</v>
      </c>
      <c r="D6" s="66" t="n">
        <v>0.3</v>
      </c>
      <c r="E6" s="52" t="n">
        <v>16</v>
      </c>
      <c r="F6" s="52" t="n">
        <v>3</v>
      </c>
      <c r="G6" s="62" t="n">
        <v>1200</v>
      </c>
      <c r="H6" s="62" t="n">
        <v>6000</v>
      </c>
      <c r="I6" s="81">
        <f>PoF_Summary!E6</f>
        <v/>
      </c>
      <c r="J6" s="78">
        <f>-LN(1-MIN(0.99,I6))/(8760*Global_Assumptions!$B$52)</f>
        <v/>
      </c>
      <c r="K6" s="75">
        <f>1/(J6*8760)</f>
        <v/>
      </c>
      <c r="L6" s="75">
        <f>-LN(1-D6)/(J6*8760)</f>
        <v/>
      </c>
      <c r="M6" s="79">
        <f>C6*CEILING(L6/C6,1)</f>
        <v/>
      </c>
      <c r="N6" s="79">
        <f>INT(Global_Assumptions!$B$63/C6)</f>
        <v/>
      </c>
      <c r="O6" s="79">
        <f>INT(Global_Assumptions!$B$63/M6)</f>
        <v/>
      </c>
      <c r="P6" s="75">
        <f>(1-EXP(-J6*8760))*E6</f>
        <v/>
      </c>
      <c r="Q6" s="79">
        <f>B6*(N6*F6+O6*E6+Global_Assumptions!$B$63*P6)</f>
        <v/>
      </c>
      <c r="R6" s="51" t="n">
        <v>0</v>
      </c>
      <c r="S6" s="51" t="n">
        <v>0</v>
      </c>
      <c r="T6" s="80">
        <f>(1-I6)^B6</f>
        <v/>
      </c>
    </row>
    <row r="7" ht="15" customHeight="1" s="45">
      <c r="A7" s="51" t="inlineStr">
        <is>
          <t>meter</t>
        </is>
      </c>
      <c r="B7" s="52" t="n">
        <v>1</v>
      </c>
      <c r="C7" s="52" t="n">
        <v>2</v>
      </c>
      <c r="D7" s="66" t="n">
        <v>0.3</v>
      </c>
      <c r="E7" s="52" t="n">
        <v>8</v>
      </c>
      <c r="F7" s="52" t="n">
        <v>2</v>
      </c>
      <c r="G7" s="62" t="n">
        <v>800</v>
      </c>
      <c r="H7" s="62" t="n">
        <v>4000</v>
      </c>
      <c r="I7" s="81">
        <f>PoF_Summary!E7</f>
        <v/>
      </c>
      <c r="J7" s="78">
        <f>-LN(1-MIN(0.99,I7))/(8760*Global_Assumptions!$B$52)</f>
        <v/>
      </c>
      <c r="K7" s="75">
        <f>1/(J7*8760)</f>
        <v/>
      </c>
      <c r="L7" s="75">
        <f>-LN(1-D7)/(J7*8760)</f>
        <v/>
      </c>
      <c r="M7" s="79">
        <f>C7*CEILING(L7/C7,1)</f>
        <v/>
      </c>
      <c r="N7" s="79">
        <f>INT(Global_Assumptions!$B$63/C7)</f>
        <v/>
      </c>
      <c r="O7" s="79">
        <f>INT(Global_Assumptions!$B$63/M7)</f>
        <v/>
      </c>
      <c r="P7" s="75">
        <f>(1-EXP(-J7*8760))*E7</f>
        <v/>
      </c>
      <c r="Q7" s="79">
        <f>B7*(N7*F7+O7*E7+Global_Assumptions!$B$63*P7)</f>
        <v/>
      </c>
      <c r="R7" s="51" t="n">
        <v>0</v>
      </c>
      <c r="S7" s="51" t="n">
        <v>0</v>
      </c>
      <c r="T7" s="80">
        <f>(1-I7)^B7</f>
        <v/>
      </c>
    </row>
    <row r="8" ht="15" customHeight="1" s="45">
      <c r="A8" s="51" t="inlineStr">
        <is>
          <t>storage</t>
        </is>
      </c>
      <c r="B8" s="52" t="n">
        <v>1</v>
      </c>
      <c r="C8" s="52" t="n">
        <v>5</v>
      </c>
      <c r="D8" s="66" t="n">
        <v>0.3</v>
      </c>
      <c r="E8" s="52" t="n">
        <v>48</v>
      </c>
      <c r="F8" s="52" t="n">
        <v>8</v>
      </c>
      <c r="G8" s="62" t="n">
        <v>4000</v>
      </c>
      <c r="H8" s="62" t="n">
        <v>12000</v>
      </c>
      <c r="I8" s="81">
        <f>PoF_Summary!E8</f>
        <v/>
      </c>
      <c r="J8" s="78">
        <f>-LN(1-MIN(0.99,I8))/(8760*Global_Assumptions!$B$52)</f>
        <v/>
      </c>
      <c r="K8" s="75">
        <f>1/(J8*8760)</f>
        <v/>
      </c>
      <c r="L8" s="75">
        <f>-LN(1-D8)/(J8*8760)</f>
        <v/>
      </c>
      <c r="M8" s="79">
        <f>C8*CEILING(L8/C8,1)</f>
        <v/>
      </c>
      <c r="N8" s="79">
        <f>INT(Global_Assumptions!$B$63/C8)</f>
        <v/>
      </c>
      <c r="O8" s="79">
        <f>INT(Global_Assumptions!$B$63/M8)</f>
        <v/>
      </c>
      <c r="P8" s="75">
        <f>(1-EXP(-J8*8760))*E8</f>
        <v/>
      </c>
      <c r="Q8" s="79">
        <f>B8*(N8*F8+O8*E8+Global_Assumptions!$B$63*P8)</f>
        <v/>
      </c>
      <c r="R8" s="51" t="n">
        <v>0</v>
      </c>
      <c r="S8" s="51" t="n">
        <v>0</v>
      </c>
      <c r="T8" s="80">
        <f>(1-I8)^B8</f>
        <v/>
      </c>
    </row>
    <row r="9" ht="15" customHeight="1" s="45">
      <c r="A9" s="51" t="inlineStr">
        <is>
          <t>microturbine</t>
        </is>
      </c>
      <c r="B9" s="52" t="n">
        <v>1</v>
      </c>
      <c r="C9" s="52" t="n">
        <v>1</v>
      </c>
      <c r="D9" s="66" t="n">
        <v>0.25</v>
      </c>
      <c r="E9" s="52" t="n">
        <v>120</v>
      </c>
      <c r="F9" s="52" t="n">
        <v>24</v>
      </c>
      <c r="G9" s="62" t="n">
        <v>8000</v>
      </c>
      <c r="H9" s="62" t="n">
        <v>45000</v>
      </c>
      <c r="I9" s="81">
        <f>PoF_Summary!E9</f>
        <v/>
      </c>
      <c r="J9" s="78">
        <f>-LN(1-MIN(0.99,I9))/(8760*Global_Assumptions!$B$52)</f>
        <v/>
      </c>
      <c r="K9" s="75">
        <f>1/(J9*8760)</f>
        <v/>
      </c>
      <c r="L9" s="75">
        <f>-LN(1-D9)/(J9*8760)</f>
        <v/>
      </c>
      <c r="M9" s="79">
        <f>C9*CEILING(L9/C9,1)</f>
        <v/>
      </c>
      <c r="N9" s="79">
        <f>INT(Global_Assumptions!$B$63/C9)</f>
        <v/>
      </c>
      <c r="O9" s="79">
        <f>INT(Global_Assumptions!$B$63/M9)</f>
        <v/>
      </c>
      <c r="P9" s="75">
        <f>(1-EXP(-J9*8760))*E9</f>
        <v/>
      </c>
      <c r="Q9" s="79">
        <f>B9*(N9*F9+O9*E9+Global_Assumptions!$B$63*P9)</f>
        <v/>
      </c>
      <c r="R9" s="51" t="n">
        <v>1</v>
      </c>
      <c r="S9" s="51" t="n">
        <v>1</v>
      </c>
      <c r="T9" s="80">
        <f>(1-I9)^B9</f>
        <v/>
      </c>
    </row>
    <row r="10" ht="15" customHeight="1" s="45">
      <c r="A10" s="51" t="inlineStr">
        <is>
          <t>heat_exchanger</t>
        </is>
      </c>
      <c r="B10" s="52" t="n">
        <v>1</v>
      </c>
      <c r="C10" s="52" t="n">
        <v>3</v>
      </c>
      <c r="D10" s="66" t="n">
        <v>0.3</v>
      </c>
      <c r="E10" s="52" t="n">
        <v>120</v>
      </c>
      <c r="F10" s="52" t="n">
        <v>24</v>
      </c>
      <c r="G10" s="62" t="n">
        <v>9000</v>
      </c>
      <c r="H10" s="62" t="n">
        <v>35000</v>
      </c>
      <c r="I10" s="81">
        <f>PoF_Summary!E10</f>
        <v/>
      </c>
      <c r="J10" s="78">
        <f>-LN(1-MIN(0.99,I10))/(8760*Global_Assumptions!$B$52)</f>
        <v/>
      </c>
      <c r="K10" s="75">
        <f>1/(J10*8760)</f>
        <v/>
      </c>
      <c r="L10" s="75">
        <f>-LN(1-D10)/(J10*8760)</f>
        <v/>
      </c>
      <c r="M10" s="79">
        <f>C10*CEILING(L10/C10,1)</f>
        <v/>
      </c>
      <c r="N10" s="79">
        <f>INT(Global_Assumptions!$B$63/C10)</f>
        <v/>
      </c>
      <c r="O10" s="79">
        <f>INT(Global_Assumptions!$B$63/M10)</f>
        <v/>
      </c>
      <c r="P10" s="75">
        <f>(1-EXP(-J10*8760))*E10</f>
        <v/>
      </c>
      <c r="Q10" s="79">
        <f>B10*(N10*F10+O10*E10+Global_Assumptions!$B$63*P10)</f>
        <v/>
      </c>
      <c r="R10" s="51" t="n">
        <v>0</v>
      </c>
      <c r="S10" s="51" t="n">
        <v>0</v>
      </c>
      <c r="T10" s="80">
        <f>(1-I10)^B10</f>
        <v/>
      </c>
    </row>
    <row r="12" ht="15" customHeight="1" s="45">
      <c r="A12" s="83" t="inlineStr">
        <is>
          <t>SYSTEM ROLL-UP (derived from the table above)</t>
        </is>
      </c>
    </row>
    <row r="13" ht="15" customHeight="1" s="45">
      <c r="A13" s="51" t="inlineStr">
        <is>
          <t>Total downtime over 50 yr (h)</t>
        </is>
      </c>
      <c r="B13" s="79">
        <f>SUM(Q4:Q10)</f>
        <v/>
      </c>
    </row>
    <row r="14" ht="15" customHeight="1" s="45">
      <c r="A14" s="51" t="inlineStr">
        <is>
          <t>Average annual downtime (h)</t>
        </is>
      </c>
      <c r="B14" s="79">
        <f>B13/Global_Assumptions!$B$63</f>
        <v/>
      </c>
    </row>
    <row r="15" ht="15" customHeight="1" s="45">
      <c r="A15" s="83" t="inlineStr">
        <is>
          <t>DERIVED AVAILABILITY (50-yr mean)</t>
        </is>
      </c>
      <c r="B15" s="89">
        <f>1-MIN(8760,B14)/8760</f>
        <v/>
      </c>
    </row>
    <row r="16" ht="15" customHeight="1" s="45">
      <c r="A16" s="51" t="inlineStr">
        <is>
          <t>System PoF20 (series)</t>
        </is>
      </c>
      <c r="B16" s="80">
        <f>1-PRODUCT(T4:T10)</f>
        <v/>
      </c>
    </row>
    <row r="17" ht="15" customHeight="1" s="45">
      <c r="A17" s="51" t="inlineStr">
        <is>
          <t>System MTTF (series, yr)</t>
        </is>
      </c>
      <c r="B17" s="75">
        <f>1/(SUMPRODUCT(B4:B10,J4:J10)*8760)</f>
        <v/>
      </c>
    </row>
    <row r="18" ht="15" customHeight="1" s="45">
      <c r="A18" s="51" t="inlineStr">
        <is>
          <t>Avg inspection cost ($/yr)</t>
        </is>
      </c>
      <c r="B18" s="82">
        <f>SUMPRODUCT(B4:B10,G4:G10,N4:N10)/Global_Assumptions!$B$63</f>
        <v/>
      </c>
    </row>
    <row r="19" ht="15" customHeight="1" s="45">
      <c r="A19" s="51" t="inlineStr">
        <is>
          <t>Avg maintenance cost ($/yr)</t>
        </is>
      </c>
      <c r="B19" s="82">
        <f>SUMPRODUCT(B4:B10,H4:H10,O4:O10)/Global_Assumptions!$B$63</f>
        <v/>
      </c>
    </row>
    <row r="21" ht="15" customHeight="1" s="45">
      <c r="A21" s="47" t="inlineStr">
        <is>
          <t>#Maint over 50 yr is 0 where the component's PoF never reaches the maintenance threshold within the horizon (M &gt; 50).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F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44" min="1" max="3"/>
    <col width="18" customWidth="1" style="44" min="4" max="6"/>
  </cols>
  <sheetData>
    <row r="1" ht="15.75" customHeight="1" s="45">
      <c r="A1" s="46" t="inlineStr">
        <is>
          <t>BLENDED FUEL COST — UCI Microturbine</t>
        </is>
      </c>
    </row>
    <row r="2" ht="15" customHeight="1" s="45">
      <c r="A2" s="47" t="inlineStr">
        <is>
          <t>Fuel = (NG portion + H2 portion)/combustion-efficiency. THERMOFLEX-VALIDATED: LHV efficiency RISES slightly with H2 (Sol Titan +1.0%, C65/C200 +0.19%), so eff=1+gain*(blend/100) — the earlier 3% derate is rejected. Gross (availability applied in Cashflow_50yr).</t>
        </is>
      </c>
    </row>
    <row r="3" ht="15" customHeight="1" s="45">
      <c r="A3" s="55" t="inlineStr">
        <is>
          <t>Blend %</t>
        </is>
      </c>
      <c r="B3" s="55" t="inlineStr">
        <is>
          <t>H2 energy frac</t>
        </is>
      </c>
      <c r="C3" s="55" t="inlineStr">
        <is>
          <t>Comb. eff.</t>
        </is>
      </c>
      <c r="D3" s="55" t="inlineStr">
        <is>
          <t>Fuel NG ($/yr)</t>
        </is>
      </c>
      <c r="E3" s="55" t="inlineStr">
        <is>
          <t>H2 production ($/yr)</t>
        </is>
      </c>
      <c r="F3" s="55" t="inlineStr">
        <is>
          <t>Total fuel ($/yr)</t>
        </is>
      </c>
    </row>
    <row r="4" ht="15" customHeight="1" s="45">
      <c r="A4" s="52" t="n">
        <v>0</v>
      </c>
      <c r="B4" s="81">
        <f>Blend_Properties!$B$6</f>
        <v/>
      </c>
      <c r="C4" s="80">
        <f>1+Global_Assumptions!$B$64*(A4/100)</f>
        <v/>
      </c>
      <c r="D4" s="82">
        <f>Blend_Properties!$B$3*(1-B4)*Global_Assumptions!$B$16</f>
        <v/>
      </c>
      <c r="E4" s="82">
        <f>Blend_Properties!$F$6*Global_Assumptions!$B$13</f>
        <v/>
      </c>
      <c r="F4" s="82">
        <f>(D4+E4)/C4</f>
        <v/>
      </c>
    </row>
    <row r="5" ht="15" customHeight="1" s="45">
      <c r="A5" s="52" t="n">
        <v>5</v>
      </c>
      <c r="B5" s="81">
        <f>Blend_Properties!$B$7</f>
        <v/>
      </c>
      <c r="C5" s="80">
        <f>1+Global_Assumptions!$B$64*(A5/100)</f>
        <v/>
      </c>
      <c r="D5" s="82">
        <f>Blend_Properties!$B$3*(1-B5)*Global_Assumptions!$B$16</f>
        <v/>
      </c>
      <c r="E5" s="82">
        <f>Blend_Properties!$F$7*Global_Assumptions!$B$13</f>
        <v/>
      </c>
      <c r="F5" s="82">
        <f>(D5+E5)/C5</f>
        <v/>
      </c>
    </row>
    <row r="6" ht="15" customHeight="1" s="45">
      <c r="A6" s="52" t="n">
        <v>10</v>
      </c>
      <c r="B6" s="81">
        <f>Blend_Properties!$B$8</f>
        <v/>
      </c>
      <c r="C6" s="80">
        <f>1+Global_Assumptions!$B$64*(A6/100)</f>
        <v/>
      </c>
      <c r="D6" s="82">
        <f>Blend_Properties!$B$3*(1-B6)*Global_Assumptions!$B$16</f>
        <v/>
      </c>
      <c r="E6" s="82">
        <f>Blend_Properties!$F$8*Global_Assumptions!$B$13</f>
        <v/>
      </c>
      <c r="F6" s="82">
        <f>(D6+E6)/C6</f>
        <v/>
      </c>
    </row>
    <row r="7" ht="15" customHeight="1" s="45">
      <c r="A7" s="52" t="n">
        <v>20</v>
      </c>
      <c r="B7" s="81">
        <f>Blend_Properties!$B$9</f>
        <v/>
      </c>
      <c r="C7" s="80">
        <f>1+Global_Assumptions!$B$64*(A7/100)</f>
        <v/>
      </c>
      <c r="D7" s="82">
        <f>Blend_Properties!$B$3*(1-B7)*Global_Assumptions!$B$16</f>
        <v/>
      </c>
      <c r="E7" s="82">
        <f>Blend_Properties!$F$9*Global_Assumptions!$B$13</f>
        <v/>
      </c>
      <c r="F7" s="82">
        <f>(D7+E7)/C7</f>
        <v/>
      </c>
    </row>
    <row r="8" ht="15" customHeight="1" s="45">
      <c r="A8" s="52" t="n">
        <v>30</v>
      </c>
      <c r="B8" s="81">
        <f>Blend_Properties!$B$10</f>
        <v/>
      </c>
      <c r="C8" s="80">
        <f>1+Global_Assumptions!$B$64*(A8/100)</f>
        <v/>
      </c>
      <c r="D8" s="82">
        <f>Blend_Properties!$B$3*(1-B8)*Global_Assumptions!$B$16</f>
        <v/>
      </c>
      <c r="E8" s="82">
        <f>Blend_Properties!$F$10*Global_Assumptions!$B$13</f>
        <v/>
      </c>
      <c r="F8" s="82">
        <f>(D8+E8)/C8</f>
        <v/>
      </c>
    </row>
    <row r="9" ht="15" customHeight="1" s="45">
      <c r="A9" s="52" t="n">
        <v>50</v>
      </c>
      <c r="B9" s="81">
        <f>Blend_Properties!$B$11</f>
        <v/>
      </c>
      <c r="C9" s="80">
        <f>1+Global_Assumptions!$B$64*(A9/100)</f>
        <v/>
      </c>
      <c r="D9" s="82">
        <f>Blend_Properties!$B$3*(1-B9)*Global_Assumptions!$B$16</f>
        <v/>
      </c>
      <c r="E9" s="82">
        <f>Blend_Properties!$F$11*Global_Assumptions!$B$13</f>
        <v/>
      </c>
      <c r="F9" s="82">
        <f>(D9+E9)/C9</f>
        <v/>
      </c>
    </row>
    <row r="10" ht="15" customHeight="1" s="45">
      <c r="A10" s="52" t="n">
        <v>75</v>
      </c>
      <c r="B10" s="81">
        <f>Blend_Properties!$B$12</f>
        <v/>
      </c>
      <c r="C10" s="80">
        <f>1+Global_Assumptions!$B$64*(A10/100)</f>
        <v/>
      </c>
      <c r="D10" s="82">
        <f>Blend_Properties!$B$3*(1-B10)*Global_Assumptions!$B$16</f>
        <v/>
      </c>
      <c r="E10" s="82">
        <f>Blend_Properties!$F$12*Global_Assumptions!$B$13</f>
        <v/>
      </c>
      <c r="F10" s="82">
        <f>(D10+E10)/C10</f>
        <v/>
      </c>
    </row>
    <row r="11" ht="15" customHeight="1" s="45">
      <c r="A11" s="52" t="n">
        <v>100</v>
      </c>
      <c r="B11" s="81">
        <f>Blend_Properties!$B$13</f>
        <v/>
      </c>
      <c r="C11" s="80">
        <f>1+Global_Assumptions!$B$64*(A11/100)</f>
        <v/>
      </c>
      <c r="D11" s="82">
        <f>Blend_Properties!$B$3*(1-B11)*Global_Assumptions!$B$16</f>
        <v/>
      </c>
      <c r="E11" s="82">
        <f>Blend_Properties!$F$13*Global_Assumptions!$B$13</f>
        <v/>
      </c>
      <c r="F11" s="82">
        <f>(D11+E11)/C11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G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44" min="1" max="1"/>
    <col width="15" customWidth="1" style="44" min="2" max="6"/>
    <col width="52" customWidth="1" style="44" min="7" max="7"/>
  </cols>
  <sheetData>
    <row r="1" ht="16.15" customHeight="1" s="45">
      <c r="A1" s="90" t="inlineStr">
        <is>
          <t>THERMOFLEX THERMODYNAMIC VALIDATION &amp; FUEL-SYSTEM CONSTRAINTS</t>
        </is>
      </c>
    </row>
    <row r="2" ht="27.75" customHeight="1" s="45">
      <c r="A2" s="91" t="inlineStr">
        <is>
          <t>GT PRO/Thermoflex simulation of the UCI turbines (Sol Titan 130, Capstone C65/C200) over 0-&gt;100% H2. Validates the model's thermodynamic assumptions and sets fuel-system hardware constraints.</t>
        </is>
      </c>
    </row>
    <row r="4" ht="15" customHeight="1" s="45">
      <c r="A4" s="92" t="inlineStr">
        <is>
          <t>A. Validated thermodynamic relationships</t>
        </is>
      </c>
      <c r="B4" s="93" t="n"/>
      <c r="C4" s="93" t="n"/>
      <c r="D4" s="93" t="n"/>
      <c r="E4" s="93" t="n"/>
      <c r="F4" s="93" t="n"/>
      <c r="G4" s="93" t="n"/>
    </row>
    <row r="5" ht="15" customHeight="1" s="45">
      <c r="A5" s="94" t="inlineStr">
        <is>
          <t>Quantity</t>
        </is>
      </c>
      <c r="B5" s="94" t="inlineStr">
        <is>
          <t>NG (0%)</t>
        </is>
      </c>
      <c r="C5" s="94" t="inlineStr">
        <is>
          <t>50% H2</t>
        </is>
      </c>
      <c r="D5" s="94" t="inlineStr">
        <is>
          <t>100% H2</t>
        </is>
      </c>
      <c r="E5" s="94" t="inlineStr">
        <is>
          <t>Trend</t>
        </is>
      </c>
      <c r="F5" s="94" t="n"/>
      <c r="G5" s="94" t="inlineStr">
        <is>
          <t>Source &amp; formula</t>
        </is>
      </c>
    </row>
    <row r="6" ht="15" customHeight="1" s="45">
      <c r="A6" s="95" t="inlineStr">
        <is>
          <t>Fuel volumetric flow (÷NG)</t>
        </is>
      </c>
      <c r="B6" s="44" t="inlineStr">
        <is>
          <t>1.00x</t>
        </is>
      </c>
      <c r="C6" s="44" t="inlineStr">
        <is>
          <t>1.54x</t>
        </is>
      </c>
      <c r="D6" s="44" t="inlineStr">
        <is>
          <t>3.39x</t>
        </is>
      </c>
      <c r="E6" s="44" t="inlineStr">
        <is>
          <t>RISES</t>
        </is>
      </c>
      <c r="G6" s="91" t="inlineStr">
        <is>
          <t>Thermoflex fit VF=1/((1-v)+0.295v)</t>
        </is>
      </c>
    </row>
    <row r="7" ht="15" customHeight="1" s="45">
      <c r="A7" s="95" t="inlineStr">
        <is>
          <t>Fuel mass flow</t>
        </is>
      </c>
      <c r="B7" s="44" t="inlineStr">
        <is>
          <t>1.00x</t>
        </is>
      </c>
      <c r="C7" s="44" t="inlineStr">
        <is>
          <t>~0.79x</t>
        </is>
      </c>
      <c r="D7" s="44" t="inlineStr">
        <is>
          <t>~0.38x</t>
        </is>
      </c>
      <c r="E7" s="44" t="inlineStr">
        <is>
          <t>falls</t>
        </is>
      </c>
      <c r="G7" s="91" t="inlineStr">
        <is>
          <t>H2 has lower mass per unit energy</t>
        </is>
      </c>
    </row>
    <row r="8" ht="15" customHeight="1" s="45">
      <c r="A8" s="95" t="inlineStr">
        <is>
          <t>Gross LHV efficiency (turbine)</t>
        </is>
      </c>
      <c r="B8" s="44" t="inlineStr">
        <is>
          <t>33.05%</t>
        </is>
      </c>
      <c r="C8" s="44" t="inlineStr">
        <is>
          <t>~33.4%</t>
        </is>
      </c>
      <c r="D8" s="44" t="inlineStr">
        <is>
          <t>33.88%</t>
        </is>
      </c>
      <c r="E8" s="44" t="inlineStr">
        <is>
          <t>+1.0%</t>
        </is>
      </c>
      <c r="G8" s="91" t="inlineStr">
        <is>
          <t>Thermoflex Sol Titan 130</t>
        </is>
      </c>
    </row>
    <row r="9" ht="15" customHeight="1" s="45">
      <c r="A9" s="95" t="inlineStr">
        <is>
          <t>Gross LHV efficiency (microturbine)</t>
        </is>
      </c>
      <c r="B9" s="44" t="inlineStr">
        <is>
          <t>41.68%</t>
        </is>
      </c>
      <c r="C9" s="44" t="inlineStr">
        <is>
          <t>~41.70%</t>
        </is>
      </c>
      <c r="D9" s="44" t="inlineStr">
        <is>
          <t>41.76%</t>
        </is>
      </c>
      <c r="E9" s="44" t="inlineStr">
        <is>
          <t>+0.19%</t>
        </is>
      </c>
      <c r="G9" s="91" t="inlineStr">
        <is>
          <t>Thermoflex C65/C200</t>
        </is>
      </c>
    </row>
    <row r="10" ht="15" customHeight="1" s="45">
      <c r="A10" s="95" t="inlineStr">
        <is>
          <t>Exhaust CO2 mol%</t>
        </is>
      </c>
      <c r="B10" s="44" t="inlineStr">
        <is>
          <t>1.86%</t>
        </is>
      </c>
      <c r="C10" s="44" t="inlineStr">
        <is>
          <t>1.39%</t>
        </is>
      </c>
      <c r="D10" s="44" t="inlineStr">
        <is>
          <t>0.000%</t>
        </is>
      </c>
      <c r="E10" s="44" t="inlineStr">
        <is>
          <t>falls to ~0</t>
        </is>
      </c>
      <c r="G10" s="91" t="inlineStr">
        <is>
          <t>CO2=1.861*(1-Efrac)</t>
        </is>
      </c>
    </row>
    <row r="11" ht="15" customHeight="1" s="45">
      <c r="A11" s="95" t="inlineStr">
        <is>
          <t>Sol Titan gross power</t>
        </is>
      </c>
      <c r="B11" s="44" t="inlineStr">
        <is>
          <t>13.29 MW</t>
        </is>
      </c>
      <c r="C11" s="44" t="inlineStr">
        <is>
          <t>~13.5 MW</t>
        </is>
      </c>
      <c r="D11" s="44" t="inlineStr">
        <is>
          <t>13.88 MW</t>
        </is>
      </c>
      <c r="E11" s="44" t="inlineStr">
        <is>
          <t>RISES</t>
        </is>
      </c>
      <c r="G11" s="91" t="inlineStr">
        <is>
          <t>constant TIT 1422K</t>
        </is>
      </c>
    </row>
    <row r="12" ht="15" customHeight="1" s="45">
      <c r="A12" s="95" t="inlineStr">
        <is>
          <t>Turbine outlet temp (TOT)</t>
        </is>
      </c>
      <c r="B12" s="44" t="inlineStr">
        <is>
          <t>768.3 K</t>
        </is>
      </c>
      <c r="C12" s="44" t="inlineStr">
        <is>
          <t>~766 K</t>
        </is>
      </c>
      <c r="D12" s="44" t="inlineStr">
        <is>
          <t>764.2 K</t>
        </is>
      </c>
      <c r="E12" s="44" t="inlineStr">
        <is>
          <t>falls &lt;10K</t>
        </is>
      </c>
      <c r="G12" s="91" t="inlineStr">
        <is>
          <t>within limit</t>
        </is>
      </c>
    </row>
    <row r="14" ht="15" customHeight="1" s="45">
      <c r="A14" s="92" t="inlineStr">
        <is>
          <t>B. Fuel-system hard constraints (Thermoflex + UCI operator-confirmed)</t>
        </is>
      </c>
      <c r="B14" s="93" t="n"/>
      <c r="C14" s="93" t="n"/>
      <c r="D14" s="93" t="n"/>
      <c r="E14" s="93" t="n"/>
      <c r="F14" s="93" t="n"/>
      <c r="G14" s="93" t="n"/>
    </row>
    <row r="15" ht="15" customHeight="1" s="45">
      <c r="A15" s="94" t="inlineStr">
        <is>
          <t>Constraint</t>
        </is>
      </c>
      <c r="B15" s="94" t="inlineStr">
        <is>
          <t>Trigger</t>
        </is>
      </c>
      <c r="C15" s="94" t="inlineStr">
        <is>
          <t>Threshold</t>
        </is>
      </c>
      <c r="D15" s="94" t="inlineStr">
        <is>
          <t>Replacement CAPEX</t>
        </is>
      </c>
      <c r="E15" s="94" t="n"/>
      <c r="F15" s="94" t="n"/>
      <c r="G15" s="94" t="inlineStr">
        <is>
          <t>Basis</t>
        </is>
      </c>
    </row>
    <row r="16" ht="22.35" customHeight="1" s="45">
      <c r="A16" s="95" t="inlineStr">
        <is>
          <t>Larger fuel metering valve</t>
        </is>
      </c>
      <c r="B16" s="44" t="inlineStr">
        <is>
          <t>Fuel volumetric flow &gt; installed Cv margin</t>
        </is>
      </c>
      <c r="C16" s="44" t="inlineStr">
        <is>
          <t>~28% H2 (25% margin)</t>
        </is>
      </c>
      <c r="D16" s="44" t="inlineStr">
        <is>
          <t>$25,000</t>
        </is>
      </c>
      <c r="G16" s="91" t="inlineStr">
        <is>
          <t>Thermoflex: fuel vol flow 3.39x at 100% H2; operator-confirmed larger valve needed</t>
        </is>
      </c>
    </row>
    <row r="17" ht="22.35" customHeight="1" s="45">
      <c r="A17" s="95" t="inlineStr">
        <is>
          <t>High-flame-speed injectors</t>
        </is>
      </c>
      <c r="B17" s="44" t="inlineStr">
        <is>
          <t>Blend above flashback threshold</t>
        </is>
      </c>
      <c r="C17" s="44" t="inlineStr">
        <is>
          <t>30% H2</t>
        </is>
      </c>
      <c r="D17" s="44" t="inlineStr">
        <is>
          <t>$80,000</t>
        </is>
      </c>
      <c r="G17" s="91" t="inlineStr">
        <is>
          <t>Operator-confirmed: high blends need special high-flame-speed injectors (H2 flame speed ~8x NG)</t>
        </is>
      </c>
    </row>
    <row r="19" ht="27.75" customHeight="1" s="45">
      <c r="A19" s="91" t="inlineStr">
        <is>
          <t>Note: efficiency values applied harmonized at +1.0%/100% in Global_Assumptions B64; microturbine actual +0.19% (sub-1% fuel-cost effect). CAPEX are screening placeholders pending OEM quotation.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M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44" min="1" max="1"/>
    <col width="9" customWidth="1" style="44" min="2" max="2"/>
    <col width="14" customWidth="1" style="44" min="3" max="3"/>
    <col width="13" customWidth="1" style="44" min="4" max="7"/>
    <col width="12" customWidth="1" style="44" min="8" max="8"/>
    <col width="14" customWidth="1" style="44" min="9" max="10"/>
    <col width="13" customWidth="1" style="44" min="11" max="11"/>
    <col width="14" customWidth="1" style="44" min="12" max="13"/>
  </cols>
  <sheetData>
    <row r="1" ht="15.75" customHeight="1" s="45">
      <c r="A1" s="46" t="inlineStr">
        <is>
          <t>DETAILED 50-YEAR CASHFLOW — UCI Microturbine (selectable scenario)</t>
        </is>
      </c>
    </row>
    <row r="2" ht="15" customHeight="1" s="45">
      <c r="A2" s="47" t="inlineStr">
        <is>
          <t>Change the blue controls to switch scenario. Capital is taken in year 1; inspection &amp; maintenance follow the lifecycle schedule; fuel, revenue and credits scale with the derived per-year availability. Discounted at the utility rate over 50 years.</t>
        </is>
      </c>
    </row>
    <row r="3" ht="15" customHeight="1" s="45">
      <c r="A3" s="50" t="inlineStr">
        <is>
          <t>Scenario (1=near-retrofit, 2=far-retrofit, 3=far-new)</t>
        </is>
      </c>
      <c r="B3" s="52" t="n">
        <v>1</v>
      </c>
      <c r="D3" s="51" t="inlineStr">
        <is>
          <t>H2 demand (kg/yr)</t>
        </is>
      </c>
      <c r="E3" s="79">
        <f>INDEX(Blend_Properties!$F$6:$F$13,B8)</f>
        <v/>
      </c>
      <c r="G3" s="51" t="inlineStr">
        <is>
          <t>Comp CAPEX ($)</t>
        </is>
      </c>
      <c r="H3" s="82">
        <f>SUMIFS(Scenario_Results!$G$4:$G$27,Scenario_Results!$A$4:$A$27,$B$4,Scenario_Results!$B$4:$B$27,$B$7,Scenario_Results!$C$4:$C$27,$B$6)</f>
        <v/>
      </c>
    </row>
    <row r="4" ht="15" customHeight="1" s="45">
      <c r="A4" s="50" t="inlineStr">
        <is>
          <t>Blend % (vol)</t>
        </is>
      </c>
      <c r="B4" s="52" t="n">
        <v>20</v>
      </c>
      <c r="D4" s="51" t="inlineStr">
        <is>
          <t>H2 energy fraction</t>
        </is>
      </c>
      <c r="E4" s="80">
        <f>INDEX(Blend_Properties!$B$6:$B$13,B8)</f>
        <v/>
      </c>
      <c r="G4" s="51" t="inlineStr">
        <is>
          <t>Skid+storage ($)</t>
        </is>
      </c>
      <c r="H4" s="82">
        <f>SUMIFS(Scenario_Results!$H$4:$H$27,Scenario_Results!$A$4:$A$27,$B$4,Scenario_Results!$B$4:$B$27,$B$7,Scenario_Results!$C$4:$C$27,$B$6)</f>
        <v/>
      </c>
    </row>
    <row r="5" ht="15" customHeight="1" s="45">
      <c r="A5" s="51" t="inlineStr">
        <is>
          <t>Injection</t>
        </is>
      </c>
      <c r="B5" s="51">
        <f>IF(B3=1,"near","far")</f>
        <v/>
      </c>
      <c r="D5" s="51" t="inlineStr">
        <is>
          <t>CO2 avoided (t/yr)</t>
        </is>
      </c>
      <c r="E5" s="79">
        <f>INDEX(Blend_Properties!$G$6:$G$13,B8)</f>
        <v/>
      </c>
      <c r="G5" s="51" t="inlineStr">
        <is>
          <t>Compressors</t>
        </is>
      </c>
      <c r="H5" s="79">
        <f>SUMIFS(Scenario_Results!$E$4:$E$27,Scenario_Results!$A$4:$A$27,$B$4,Scenario_Results!$B$4:$B$27,$B$7,Scenario_Results!$C$4:$C$27,$B$6)</f>
        <v/>
      </c>
    </row>
    <row r="6" ht="15" customHeight="1" s="45">
      <c r="A6" s="51" t="inlineStr">
        <is>
          <t>Pathway</t>
        </is>
      </c>
      <c r="B6" s="51">
        <f>IF(B3=3,"new","retrofit")</f>
        <v/>
      </c>
      <c r="D6" s="51" t="inlineStr">
        <is>
          <t>Delivered energy (GJ/yr)</t>
        </is>
      </c>
      <c r="E6" s="79">
        <f>Blend_Properties!$B$3*((1-B4/100)+(B4/100)*Global_Assumptions!$B$26)</f>
        <v/>
      </c>
      <c r="G6" s="51" t="inlineStr">
        <is>
          <t>Total CAPEX ($)</t>
        </is>
      </c>
      <c r="H6" s="82">
        <f>E8+H3+H4</f>
        <v/>
      </c>
    </row>
    <row r="7" ht="15" customHeight="1" s="45">
      <c r="A7" s="51" t="inlineStr">
        <is>
          <t>Selected distance (mi)</t>
        </is>
      </c>
      <c r="B7" s="79">
        <f>IF(B3=1,TEA_Hydraulics!$B$3,TEA_Hydraulics!$E$3)</f>
        <v/>
      </c>
      <c r="D7" s="51" t="inlineStr">
        <is>
          <t>Combustion efficiency</t>
        </is>
      </c>
      <c r="E7" s="80">
        <f>1+Global_Assumptions!$B$64*(B4/100)</f>
        <v/>
      </c>
      <c r="G7" s="51" t="inlineStr">
        <is>
          <t>Storage CAPEX ($)</t>
        </is>
      </c>
      <c r="H7" s="82">
        <f>E3/365*Global_Assumptions!$B$49*Global_Assumptions!$B$48</f>
        <v/>
      </c>
    </row>
    <row r="8" ht="15" customHeight="1" s="45">
      <c r="A8" s="51" t="inlineStr">
        <is>
          <t>Blend index</t>
        </is>
      </c>
      <c r="B8" s="79">
        <f>MATCH(B4,Blend_Properties!$A$6:$A$13,0)</f>
        <v/>
      </c>
      <c r="D8" s="51" t="inlineStr">
        <is>
          <t>Pipe CAPEX ($)</t>
        </is>
      </c>
      <c r="E8" s="82">
        <f>SUMIFS(Scenario_Results!$F$4:$F$27,Scenario_Results!$A$4:$A$27,$B$4,Scenario_Results!$B$4:$B$27,$B$7,Scenario_Results!$C$4:$C$27,$B$6)</f>
        <v/>
      </c>
      <c r="G8" s="51" t="inlineStr">
        <is>
          <t>Pressure adder ($/kg)</t>
        </is>
      </c>
      <c r="H8" s="63" t="n">
        <v>0.15</v>
      </c>
    </row>
    <row r="10" ht="15" customHeight="1" s="45">
      <c r="A10" s="83" t="inlineStr">
        <is>
          <t>Annual O&amp;M constants</t>
        </is>
      </c>
    </row>
    <row r="11" ht="15" customHeight="1" s="45">
      <c r="A11" s="51" t="inlineStr">
        <is>
          <t>Compression elec ($/yr)</t>
        </is>
      </c>
      <c r="B11" s="82">
        <f>E3*Global_Assumptions!$B$38*Global_Assumptions!$B$19</f>
        <v/>
      </c>
    </row>
    <row r="12" ht="15" customHeight="1" s="45">
      <c r="A12" s="51" t="inlineStr">
        <is>
          <t>Compressor maint ($/yr)</t>
        </is>
      </c>
      <c r="B12" s="82">
        <f>H3*Global_Assumptions!$B$41</f>
        <v/>
      </c>
    </row>
    <row r="13" ht="15" customHeight="1" s="45">
      <c r="A13" s="51" t="inlineStr">
        <is>
          <t>Pipe O&amp;M ($/yr)</t>
        </is>
      </c>
      <c r="B13" s="82">
        <f>E8*Global_Assumptions!$B$50</f>
        <v/>
      </c>
    </row>
    <row r="14" ht="15" customHeight="1" s="45">
      <c r="A14" s="51" t="inlineStr">
        <is>
          <t>Pressure O&amp;M ($/yr)</t>
        </is>
      </c>
      <c r="B14" s="82">
        <f>H8*E3</f>
        <v/>
      </c>
    </row>
    <row r="15" ht="15" customHeight="1" s="45">
      <c r="A15" s="51" t="inlineStr">
        <is>
          <t>Storage O&amp;M ($/yr)</t>
        </is>
      </c>
      <c r="B15" s="82">
        <f>H7*Global_Assumptions!$B$65</f>
        <v/>
      </c>
    </row>
    <row r="17" ht="15" customHeight="1" s="45">
      <c r="A17" s="55" t="inlineStr">
        <is>
          <t>Year</t>
        </is>
      </c>
      <c r="B17" s="55" t="inlineStr">
        <is>
          <t>Avail.</t>
        </is>
      </c>
      <c r="C17" s="55" t="inlineStr">
        <is>
          <t>CAPEX ($)</t>
        </is>
      </c>
      <c r="D17" s="55" t="inlineStr">
        <is>
          <t>Inspect ($)</t>
        </is>
      </c>
      <c r="E17" s="55" t="inlineStr">
        <is>
          <t>Maint ($)</t>
        </is>
      </c>
      <c r="F17" s="55" t="inlineStr">
        <is>
          <t>Fuel NG ($)</t>
        </is>
      </c>
      <c r="G17" s="55" t="inlineStr">
        <is>
          <t>H2 prod ($)</t>
        </is>
      </c>
      <c r="H17" s="55" t="inlineStr">
        <is>
          <t>Stor O&amp;M ($)</t>
        </is>
      </c>
      <c r="I17" s="55" t="inlineStr">
        <is>
          <t>O&amp;M/Compr ($)</t>
        </is>
      </c>
      <c r="J17" s="55" t="inlineStr">
        <is>
          <t>Revenue ($)</t>
        </is>
      </c>
      <c r="K17" s="55" t="inlineStr">
        <is>
          <t>Carbon cr ($)</t>
        </is>
      </c>
      <c r="L17" s="55" t="inlineStr">
        <is>
          <t>Net ($)</t>
        </is>
      </c>
      <c r="M17" s="55" t="inlineStr">
        <is>
          <t>Disc. net ($)</t>
        </is>
      </c>
    </row>
    <row r="18" ht="15" customHeight="1" s="45">
      <c r="A18" s="52" t="n">
        <v>1</v>
      </c>
      <c r="B18" s="80">
        <f>1-MIN(8760,SUMPRODUCT(Lifecycle_50yr!$B$4:$B$10,Lifecycle_50yr!$F$4:$F$10,--(MOD($A18,Lifecycle_50yr!$C$4:$C$10)=0))+SUMPRODUCT(Lifecycle_50yr!$B$4:$B$10,Lifecycle_50yr!$E$4:$E$10,--(MOD($A18,Lifecycle_50yr!$M$4:$M$10)=0))+SUMPRODUCT(Lifecycle_50yr!$B$4:$B$10,Lifecycle_50yr!$P$4:$P$10))/8760</f>
        <v/>
      </c>
      <c r="C18" s="82">
        <f>IF($A18=1,$H$6,0)</f>
        <v/>
      </c>
      <c r="D18" s="82">
        <f>SUMPRODUCT(Lifecycle_50yr!$B$4:$B$10,Lifecycle_50yr!$G$4:$G$10,--(MOD($A18,Lifecycle_50yr!$C$4:$C$10)=0))</f>
        <v/>
      </c>
      <c r="E18" s="82">
        <f>SUMPRODUCT(Lifecycle_50yr!$B$4:$B$10,Lifecycle_50yr!$H$4:$H$10,--(MOD($A18,Lifecycle_50yr!$M$4:$M$10)=0))</f>
        <v/>
      </c>
      <c r="F18" s="82">
        <f>Blend_Properties!$B$3*(1-$E$4)*Global_Assumptions!$B$16/$E$7*B18</f>
        <v/>
      </c>
      <c r="G18" s="82">
        <f>$E$3*Global_Assumptions!$B$13/$E$7*B18</f>
        <v/>
      </c>
      <c r="H18" s="82">
        <f>$B$15*B18</f>
        <v/>
      </c>
      <c r="I18" s="82">
        <f>($B$11+$B$14)*B18+$B$12+$B$13</f>
        <v/>
      </c>
      <c r="J18" s="82">
        <f>$E$3*Global_Assumptions!$B$66*B18</f>
        <v/>
      </c>
      <c r="K18" s="82">
        <f>($E$5*Global_Assumptions!$B$20+$E$3*Global_Assumptions!$B$68*(--($A18&lt;=Global_Assumptions!$B$86)))*B18</f>
        <v/>
      </c>
      <c r="L18" s="82">
        <f>J18+K18-(C18+D18+E18+F18+G18+H18+I18)</f>
        <v/>
      </c>
      <c r="M18" s="82">
        <f>L18/(1+Global_Assumptions!$B$7)^$A18</f>
        <v/>
      </c>
    </row>
    <row r="19" ht="15" customHeight="1" s="45">
      <c r="A19" s="52" t="n">
        <v>2</v>
      </c>
      <c r="B19" s="80">
        <f>1-MIN(8760,SUMPRODUCT(Lifecycle_50yr!$B$4:$B$10,Lifecycle_50yr!$F$4:$F$10,--(MOD($A19,Lifecycle_50yr!$C$4:$C$10)=0))+SUMPRODUCT(Lifecycle_50yr!$B$4:$B$10,Lifecycle_50yr!$E$4:$E$10,--(MOD($A19,Lifecycle_50yr!$M$4:$M$10)=0))+SUMPRODUCT(Lifecycle_50yr!$B$4:$B$10,Lifecycle_50yr!$P$4:$P$10))/8760</f>
        <v/>
      </c>
      <c r="C19" s="82">
        <f>IF($A19=1,$H$6,0)</f>
        <v/>
      </c>
      <c r="D19" s="82">
        <f>SUMPRODUCT(Lifecycle_50yr!$B$4:$B$10,Lifecycle_50yr!$G$4:$G$10,--(MOD($A19,Lifecycle_50yr!$C$4:$C$10)=0))</f>
        <v/>
      </c>
      <c r="E19" s="82">
        <f>SUMPRODUCT(Lifecycle_50yr!$B$4:$B$10,Lifecycle_50yr!$H$4:$H$10,--(MOD($A19,Lifecycle_50yr!$M$4:$M$10)=0))</f>
        <v/>
      </c>
      <c r="F19" s="82">
        <f>Blend_Properties!$B$3*(1-$E$4)*Global_Assumptions!$B$16/$E$7*B19</f>
        <v/>
      </c>
      <c r="G19" s="82">
        <f>$E$3*Global_Assumptions!$B$13/$E$7*B19</f>
        <v/>
      </c>
      <c r="H19" s="82">
        <f>$B$15*B19</f>
        <v/>
      </c>
      <c r="I19" s="82">
        <f>($B$11+$B$14)*B19+$B$12+$B$13</f>
        <v/>
      </c>
      <c r="J19" s="82">
        <f>$E$3*Global_Assumptions!$B$66*B19</f>
        <v/>
      </c>
      <c r="K19" s="82">
        <f>($E$5*Global_Assumptions!$B$20+$E$3*Global_Assumptions!$B$68*(--($A19&lt;=Global_Assumptions!$B$86)))*B19</f>
        <v/>
      </c>
      <c r="L19" s="82">
        <f>J19+K19-(C19+D19+E19+F19+G19+H19+I19)</f>
        <v/>
      </c>
      <c r="M19" s="82">
        <f>L19/(1+Global_Assumptions!$B$7)^$A19</f>
        <v/>
      </c>
    </row>
    <row r="20" ht="15" customHeight="1" s="45">
      <c r="A20" s="52" t="n">
        <v>3</v>
      </c>
      <c r="B20" s="80">
        <f>1-MIN(8760,SUMPRODUCT(Lifecycle_50yr!$B$4:$B$10,Lifecycle_50yr!$F$4:$F$10,--(MOD($A20,Lifecycle_50yr!$C$4:$C$10)=0))+SUMPRODUCT(Lifecycle_50yr!$B$4:$B$10,Lifecycle_50yr!$E$4:$E$10,--(MOD($A20,Lifecycle_50yr!$M$4:$M$10)=0))+SUMPRODUCT(Lifecycle_50yr!$B$4:$B$10,Lifecycle_50yr!$P$4:$P$10))/8760</f>
        <v/>
      </c>
      <c r="C20" s="82">
        <f>IF($A20=1,$H$6,0)</f>
        <v/>
      </c>
      <c r="D20" s="82">
        <f>SUMPRODUCT(Lifecycle_50yr!$B$4:$B$10,Lifecycle_50yr!$G$4:$G$10,--(MOD($A20,Lifecycle_50yr!$C$4:$C$10)=0))</f>
        <v/>
      </c>
      <c r="E20" s="82">
        <f>SUMPRODUCT(Lifecycle_50yr!$B$4:$B$10,Lifecycle_50yr!$H$4:$H$10,--(MOD($A20,Lifecycle_50yr!$M$4:$M$10)=0))</f>
        <v/>
      </c>
      <c r="F20" s="82">
        <f>Blend_Properties!$B$3*(1-$E$4)*Global_Assumptions!$B$16/$E$7*B20</f>
        <v/>
      </c>
      <c r="G20" s="82">
        <f>$E$3*Global_Assumptions!$B$13/$E$7*B20</f>
        <v/>
      </c>
      <c r="H20" s="82">
        <f>$B$15*B20</f>
        <v/>
      </c>
      <c r="I20" s="82">
        <f>($B$11+$B$14)*B20+$B$12+$B$13</f>
        <v/>
      </c>
      <c r="J20" s="82">
        <f>$E$3*Global_Assumptions!$B$66*B20</f>
        <v/>
      </c>
      <c r="K20" s="82">
        <f>($E$5*Global_Assumptions!$B$20+$E$3*Global_Assumptions!$B$68*(--($A20&lt;=Global_Assumptions!$B$86)))*B20</f>
        <v/>
      </c>
      <c r="L20" s="82">
        <f>J20+K20-(C20+D20+E20+F20+G20+H20+I20)</f>
        <v/>
      </c>
      <c r="M20" s="82">
        <f>L20/(1+Global_Assumptions!$B$7)^$A20</f>
        <v/>
      </c>
    </row>
    <row r="21" ht="15" customHeight="1" s="45">
      <c r="A21" s="52" t="n">
        <v>4</v>
      </c>
      <c r="B21" s="80">
        <f>1-MIN(8760,SUMPRODUCT(Lifecycle_50yr!$B$4:$B$10,Lifecycle_50yr!$F$4:$F$10,--(MOD($A21,Lifecycle_50yr!$C$4:$C$10)=0))+SUMPRODUCT(Lifecycle_50yr!$B$4:$B$10,Lifecycle_50yr!$E$4:$E$10,--(MOD($A21,Lifecycle_50yr!$M$4:$M$10)=0))+SUMPRODUCT(Lifecycle_50yr!$B$4:$B$10,Lifecycle_50yr!$P$4:$P$10))/8760</f>
        <v/>
      </c>
      <c r="C21" s="82">
        <f>IF($A21=1,$H$6,0)</f>
        <v/>
      </c>
      <c r="D21" s="82">
        <f>SUMPRODUCT(Lifecycle_50yr!$B$4:$B$10,Lifecycle_50yr!$G$4:$G$10,--(MOD($A21,Lifecycle_50yr!$C$4:$C$10)=0))</f>
        <v/>
      </c>
      <c r="E21" s="82">
        <f>SUMPRODUCT(Lifecycle_50yr!$B$4:$B$10,Lifecycle_50yr!$H$4:$H$10,--(MOD($A21,Lifecycle_50yr!$M$4:$M$10)=0))</f>
        <v/>
      </c>
      <c r="F21" s="82">
        <f>Blend_Properties!$B$3*(1-$E$4)*Global_Assumptions!$B$16/$E$7*B21</f>
        <v/>
      </c>
      <c r="G21" s="82">
        <f>$E$3*Global_Assumptions!$B$13/$E$7*B21</f>
        <v/>
      </c>
      <c r="H21" s="82">
        <f>$B$15*B21</f>
        <v/>
      </c>
      <c r="I21" s="82">
        <f>($B$11+$B$14)*B21+$B$12+$B$13</f>
        <v/>
      </c>
      <c r="J21" s="82">
        <f>$E$3*Global_Assumptions!$B$66*B21</f>
        <v/>
      </c>
      <c r="K21" s="82">
        <f>($E$5*Global_Assumptions!$B$20+$E$3*Global_Assumptions!$B$68*(--($A21&lt;=Global_Assumptions!$B$86)))*B21</f>
        <v/>
      </c>
      <c r="L21" s="82">
        <f>J21+K21-(C21+D21+E21+F21+G21+H21+I21)</f>
        <v/>
      </c>
      <c r="M21" s="82">
        <f>L21/(1+Global_Assumptions!$B$7)^$A21</f>
        <v/>
      </c>
    </row>
    <row r="22" ht="15" customHeight="1" s="45">
      <c r="A22" s="52" t="n">
        <v>5</v>
      </c>
      <c r="B22" s="80">
        <f>1-MIN(8760,SUMPRODUCT(Lifecycle_50yr!$B$4:$B$10,Lifecycle_50yr!$F$4:$F$10,--(MOD($A22,Lifecycle_50yr!$C$4:$C$10)=0))+SUMPRODUCT(Lifecycle_50yr!$B$4:$B$10,Lifecycle_50yr!$E$4:$E$10,--(MOD($A22,Lifecycle_50yr!$M$4:$M$10)=0))+SUMPRODUCT(Lifecycle_50yr!$B$4:$B$10,Lifecycle_50yr!$P$4:$P$10))/8760</f>
        <v/>
      </c>
      <c r="C22" s="82">
        <f>IF($A22=1,$H$6,0)</f>
        <v/>
      </c>
      <c r="D22" s="82">
        <f>SUMPRODUCT(Lifecycle_50yr!$B$4:$B$10,Lifecycle_50yr!$G$4:$G$10,--(MOD($A22,Lifecycle_50yr!$C$4:$C$10)=0))</f>
        <v/>
      </c>
      <c r="E22" s="82">
        <f>SUMPRODUCT(Lifecycle_50yr!$B$4:$B$10,Lifecycle_50yr!$H$4:$H$10,--(MOD($A22,Lifecycle_50yr!$M$4:$M$10)=0))</f>
        <v/>
      </c>
      <c r="F22" s="82">
        <f>Blend_Properties!$B$3*(1-$E$4)*Global_Assumptions!$B$16/$E$7*B22</f>
        <v/>
      </c>
      <c r="G22" s="82">
        <f>$E$3*Global_Assumptions!$B$13/$E$7*B22</f>
        <v/>
      </c>
      <c r="H22" s="82">
        <f>$B$15*B22</f>
        <v/>
      </c>
      <c r="I22" s="82">
        <f>($B$11+$B$14)*B22+$B$12+$B$13</f>
        <v/>
      </c>
      <c r="J22" s="82">
        <f>$E$3*Global_Assumptions!$B$66*B22</f>
        <v/>
      </c>
      <c r="K22" s="82">
        <f>($E$5*Global_Assumptions!$B$20+$E$3*Global_Assumptions!$B$68*(--($A22&lt;=Global_Assumptions!$B$86)))*B22</f>
        <v/>
      </c>
      <c r="L22" s="82">
        <f>J22+K22-(C22+D22+E22+F22+G22+H22+I22)</f>
        <v/>
      </c>
      <c r="M22" s="82">
        <f>L22/(1+Global_Assumptions!$B$7)^$A22</f>
        <v/>
      </c>
    </row>
    <row r="23" ht="15" customHeight="1" s="45">
      <c r="A23" s="52" t="n">
        <v>6</v>
      </c>
      <c r="B23" s="80">
        <f>1-MIN(8760,SUMPRODUCT(Lifecycle_50yr!$B$4:$B$10,Lifecycle_50yr!$F$4:$F$10,--(MOD($A23,Lifecycle_50yr!$C$4:$C$10)=0))+SUMPRODUCT(Lifecycle_50yr!$B$4:$B$10,Lifecycle_50yr!$E$4:$E$10,--(MOD($A23,Lifecycle_50yr!$M$4:$M$10)=0))+SUMPRODUCT(Lifecycle_50yr!$B$4:$B$10,Lifecycle_50yr!$P$4:$P$10))/8760</f>
        <v/>
      </c>
      <c r="C23" s="82">
        <f>IF($A23=1,$H$6,0)</f>
        <v/>
      </c>
      <c r="D23" s="82">
        <f>SUMPRODUCT(Lifecycle_50yr!$B$4:$B$10,Lifecycle_50yr!$G$4:$G$10,--(MOD($A23,Lifecycle_50yr!$C$4:$C$10)=0))</f>
        <v/>
      </c>
      <c r="E23" s="82">
        <f>SUMPRODUCT(Lifecycle_50yr!$B$4:$B$10,Lifecycle_50yr!$H$4:$H$10,--(MOD($A23,Lifecycle_50yr!$M$4:$M$10)=0))</f>
        <v/>
      </c>
      <c r="F23" s="82">
        <f>Blend_Properties!$B$3*(1-$E$4)*Global_Assumptions!$B$16/$E$7*B23</f>
        <v/>
      </c>
      <c r="G23" s="82">
        <f>$E$3*Global_Assumptions!$B$13/$E$7*B23</f>
        <v/>
      </c>
      <c r="H23" s="82">
        <f>$B$15*B23</f>
        <v/>
      </c>
      <c r="I23" s="82">
        <f>($B$11+$B$14)*B23+$B$12+$B$13</f>
        <v/>
      </c>
      <c r="J23" s="82">
        <f>$E$3*Global_Assumptions!$B$66*B23</f>
        <v/>
      </c>
      <c r="K23" s="82">
        <f>($E$5*Global_Assumptions!$B$20+$E$3*Global_Assumptions!$B$68*(--($A23&lt;=Global_Assumptions!$B$86)))*B23</f>
        <v/>
      </c>
      <c r="L23" s="82">
        <f>J23+K23-(C23+D23+E23+F23+G23+H23+I23)</f>
        <v/>
      </c>
      <c r="M23" s="82">
        <f>L23/(1+Global_Assumptions!$B$7)^$A23</f>
        <v/>
      </c>
    </row>
    <row r="24" ht="15" customHeight="1" s="45">
      <c r="A24" s="52" t="n">
        <v>7</v>
      </c>
      <c r="B24" s="80">
        <f>1-MIN(8760,SUMPRODUCT(Lifecycle_50yr!$B$4:$B$10,Lifecycle_50yr!$F$4:$F$10,--(MOD($A24,Lifecycle_50yr!$C$4:$C$10)=0))+SUMPRODUCT(Lifecycle_50yr!$B$4:$B$10,Lifecycle_50yr!$E$4:$E$10,--(MOD($A24,Lifecycle_50yr!$M$4:$M$10)=0))+SUMPRODUCT(Lifecycle_50yr!$B$4:$B$10,Lifecycle_50yr!$P$4:$P$10))/8760</f>
        <v/>
      </c>
      <c r="C24" s="82">
        <f>IF($A24=1,$H$6,0)</f>
        <v/>
      </c>
      <c r="D24" s="82">
        <f>SUMPRODUCT(Lifecycle_50yr!$B$4:$B$10,Lifecycle_50yr!$G$4:$G$10,--(MOD($A24,Lifecycle_50yr!$C$4:$C$10)=0))</f>
        <v/>
      </c>
      <c r="E24" s="82">
        <f>SUMPRODUCT(Lifecycle_50yr!$B$4:$B$10,Lifecycle_50yr!$H$4:$H$10,--(MOD($A24,Lifecycle_50yr!$M$4:$M$10)=0))</f>
        <v/>
      </c>
      <c r="F24" s="82">
        <f>Blend_Properties!$B$3*(1-$E$4)*Global_Assumptions!$B$16/$E$7*B24</f>
        <v/>
      </c>
      <c r="G24" s="82">
        <f>$E$3*Global_Assumptions!$B$13/$E$7*B24</f>
        <v/>
      </c>
      <c r="H24" s="82">
        <f>$B$15*B24</f>
        <v/>
      </c>
      <c r="I24" s="82">
        <f>($B$11+$B$14)*B24+$B$12+$B$13</f>
        <v/>
      </c>
      <c r="J24" s="82">
        <f>$E$3*Global_Assumptions!$B$66*B24</f>
        <v/>
      </c>
      <c r="K24" s="82">
        <f>($E$5*Global_Assumptions!$B$20+$E$3*Global_Assumptions!$B$68*(--($A24&lt;=Global_Assumptions!$B$86)))*B24</f>
        <v/>
      </c>
      <c r="L24" s="82">
        <f>J24+K24-(C24+D24+E24+F24+G24+H24+I24)</f>
        <v/>
      </c>
      <c r="M24" s="82">
        <f>L24/(1+Global_Assumptions!$B$7)^$A24</f>
        <v/>
      </c>
    </row>
    <row r="25" ht="15" customHeight="1" s="45">
      <c r="A25" s="52" t="n">
        <v>8</v>
      </c>
      <c r="B25" s="80">
        <f>1-MIN(8760,SUMPRODUCT(Lifecycle_50yr!$B$4:$B$10,Lifecycle_50yr!$F$4:$F$10,--(MOD($A25,Lifecycle_50yr!$C$4:$C$10)=0))+SUMPRODUCT(Lifecycle_50yr!$B$4:$B$10,Lifecycle_50yr!$E$4:$E$10,--(MOD($A25,Lifecycle_50yr!$M$4:$M$10)=0))+SUMPRODUCT(Lifecycle_50yr!$B$4:$B$10,Lifecycle_50yr!$P$4:$P$10))/8760</f>
        <v/>
      </c>
      <c r="C25" s="82">
        <f>IF($A25=1,$H$6,0)</f>
        <v/>
      </c>
      <c r="D25" s="82">
        <f>SUMPRODUCT(Lifecycle_50yr!$B$4:$B$10,Lifecycle_50yr!$G$4:$G$10,--(MOD($A25,Lifecycle_50yr!$C$4:$C$10)=0))</f>
        <v/>
      </c>
      <c r="E25" s="82">
        <f>SUMPRODUCT(Lifecycle_50yr!$B$4:$B$10,Lifecycle_50yr!$H$4:$H$10,--(MOD($A25,Lifecycle_50yr!$M$4:$M$10)=0))</f>
        <v/>
      </c>
      <c r="F25" s="82">
        <f>Blend_Properties!$B$3*(1-$E$4)*Global_Assumptions!$B$16/$E$7*B25</f>
        <v/>
      </c>
      <c r="G25" s="82">
        <f>$E$3*Global_Assumptions!$B$13/$E$7*B25</f>
        <v/>
      </c>
      <c r="H25" s="82">
        <f>$B$15*B25</f>
        <v/>
      </c>
      <c r="I25" s="82">
        <f>($B$11+$B$14)*B25+$B$12+$B$13</f>
        <v/>
      </c>
      <c r="J25" s="82">
        <f>$E$3*Global_Assumptions!$B$66*B25</f>
        <v/>
      </c>
      <c r="K25" s="82">
        <f>($E$5*Global_Assumptions!$B$20+$E$3*Global_Assumptions!$B$68*(--($A25&lt;=Global_Assumptions!$B$86)))*B25</f>
        <v/>
      </c>
      <c r="L25" s="82">
        <f>J25+K25-(C25+D25+E25+F25+G25+H25+I25)</f>
        <v/>
      </c>
      <c r="M25" s="82">
        <f>L25/(1+Global_Assumptions!$B$7)^$A25</f>
        <v/>
      </c>
    </row>
    <row r="26" ht="15" customHeight="1" s="45">
      <c r="A26" s="52" t="n">
        <v>9</v>
      </c>
      <c r="B26" s="80">
        <f>1-MIN(8760,SUMPRODUCT(Lifecycle_50yr!$B$4:$B$10,Lifecycle_50yr!$F$4:$F$10,--(MOD($A26,Lifecycle_50yr!$C$4:$C$10)=0))+SUMPRODUCT(Lifecycle_50yr!$B$4:$B$10,Lifecycle_50yr!$E$4:$E$10,--(MOD($A26,Lifecycle_50yr!$M$4:$M$10)=0))+SUMPRODUCT(Lifecycle_50yr!$B$4:$B$10,Lifecycle_50yr!$P$4:$P$10))/8760</f>
        <v/>
      </c>
      <c r="C26" s="82">
        <f>IF($A26=1,$H$6,0)</f>
        <v/>
      </c>
      <c r="D26" s="82">
        <f>SUMPRODUCT(Lifecycle_50yr!$B$4:$B$10,Lifecycle_50yr!$G$4:$G$10,--(MOD($A26,Lifecycle_50yr!$C$4:$C$10)=0))</f>
        <v/>
      </c>
      <c r="E26" s="82">
        <f>SUMPRODUCT(Lifecycle_50yr!$B$4:$B$10,Lifecycle_50yr!$H$4:$H$10,--(MOD($A26,Lifecycle_50yr!$M$4:$M$10)=0))</f>
        <v/>
      </c>
      <c r="F26" s="82">
        <f>Blend_Properties!$B$3*(1-$E$4)*Global_Assumptions!$B$16/$E$7*B26</f>
        <v/>
      </c>
      <c r="G26" s="82">
        <f>$E$3*Global_Assumptions!$B$13/$E$7*B26</f>
        <v/>
      </c>
      <c r="H26" s="82">
        <f>$B$15*B26</f>
        <v/>
      </c>
      <c r="I26" s="82">
        <f>($B$11+$B$14)*B26+$B$12+$B$13</f>
        <v/>
      </c>
      <c r="J26" s="82">
        <f>$E$3*Global_Assumptions!$B$66*B26</f>
        <v/>
      </c>
      <c r="K26" s="82">
        <f>($E$5*Global_Assumptions!$B$20+$E$3*Global_Assumptions!$B$68*(--($A26&lt;=Global_Assumptions!$B$86)))*B26</f>
        <v/>
      </c>
      <c r="L26" s="82">
        <f>J26+K26-(C26+D26+E26+F26+G26+H26+I26)</f>
        <v/>
      </c>
      <c r="M26" s="82">
        <f>L26/(1+Global_Assumptions!$B$7)^$A26</f>
        <v/>
      </c>
    </row>
    <row r="27" ht="15" customHeight="1" s="45">
      <c r="A27" s="52" t="n">
        <v>10</v>
      </c>
      <c r="B27" s="80">
        <f>1-MIN(8760,SUMPRODUCT(Lifecycle_50yr!$B$4:$B$10,Lifecycle_50yr!$F$4:$F$10,--(MOD($A27,Lifecycle_50yr!$C$4:$C$10)=0))+SUMPRODUCT(Lifecycle_50yr!$B$4:$B$10,Lifecycle_50yr!$E$4:$E$10,--(MOD($A27,Lifecycle_50yr!$M$4:$M$10)=0))+SUMPRODUCT(Lifecycle_50yr!$B$4:$B$10,Lifecycle_50yr!$P$4:$P$10))/8760</f>
        <v/>
      </c>
      <c r="C27" s="82">
        <f>IF($A27=1,$H$6,0)</f>
        <v/>
      </c>
      <c r="D27" s="82">
        <f>SUMPRODUCT(Lifecycle_50yr!$B$4:$B$10,Lifecycle_50yr!$G$4:$G$10,--(MOD($A27,Lifecycle_50yr!$C$4:$C$10)=0))</f>
        <v/>
      </c>
      <c r="E27" s="82">
        <f>SUMPRODUCT(Lifecycle_50yr!$B$4:$B$10,Lifecycle_50yr!$H$4:$H$10,--(MOD($A27,Lifecycle_50yr!$M$4:$M$10)=0))</f>
        <v/>
      </c>
      <c r="F27" s="82">
        <f>Blend_Properties!$B$3*(1-$E$4)*Global_Assumptions!$B$16/$E$7*B27</f>
        <v/>
      </c>
      <c r="G27" s="82">
        <f>$E$3*Global_Assumptions!$B$13/$E$7*B27</f>
        <v/>
      </c>
      <c r="H27" s="82">
        <f>$B$15*B27</f>
        <v/>
      </c>
      <c r="I27" s="82">
        <f>($B$11+$B$14)*B27+$B$12+$B$13</f>
        <v/>
      </c>
      <c r="J27" s="82">
        <f>$E$3*Global_Assumptions!$B$66*B27</f>
        <v/>
      </c>
      <c r="K27" s="82">
        <f>($E$5*Global_Assumptions!$B$20+$E$3*Global_Assumptions!$B$68*(--($A27&lt;=Global_Assumptions!$B$86)))*B27</f>
        <v/>
      </c>
      <c r="L27" s="82">
        <f>J27+K27-(C27+D27+E27+F27+G27+H27+I27)</f>
        <v/>
      </c>
      <c r="M27" s="82">
        <f>L27/(1+Global_Assumptions!$B$7)^$A27</f>
        <v/>
      </c>
    </row>
    <row r="28" ht="15" customHeight="1" s="45">
      <c r="A28" s="52" t="n">
        <v>11</v>
      </c>
      <c r="B28" s="80">
        <f>1-MIN(8760,SUMPRODUCT(Lifecycle_50yr!$B$4:$B$10,Lifecycle_50yr!$F$4:$F$10,--(MOD($A28,Lifecycle_50yr!$C$4:$C$10)=0))+SUMPRODUCT(Lifecycle_50yr!$B$4:$B$10,Lifecycle_50yr!$E$4:$E$10,--(MOD($A28,Lifecycle_50yr!$M$4:$M$10)=0))+SUMPRODUCT(Lifecycle_50yr!$B$4:$B$10,Lifecycle_50yr!$P$4:$P$10))/8760</f>
        <v/>
      </c>
      <c r="C28" s="82">
        <f>IF($A28=1,$H$6,0)</f>
        <v/>
      </c>
      <c r="D28" s="82">
        <f>SUMPRODUCT(Lifecycle_50yr!$B$4:$B$10,Lifecycle_50yr!$G$4:$G$10,--(MOD($A28,Lifecycle_50yr!$C$4:$C$10)=0))</f>
        <v/>
      </c>
      <c r="E28" s="82">
        <f>SUMPRODUCT(Lifecycle_50yr!$B$4:$B$10,Lifecycle_50yr!$H$4:$H$10,--(MOD($A28,Lifecycle_50yr!$M$4:$M$10)=0))</f>
        <v/>
      </c>
      <c r="F28" s="82">
        <f>Blend_Properties!$B$3*(1-$E$4)*Global_Assumptions!$B$16/$E$7*B28</f>
        <v/>
      </c>
      <c r="G28" s="82">
        <f>$E$3*Global_Assumptions!$B$13/$E$7*B28</f>
        <v/>
      </c>
      <c r="H28" s="82">
        <f>$B$15*B28</f>
        <v/>
      </c>
      <c r="I28" s="82">
        <f>($B$11+$B$14)*B28+$B$12+$B$13</f>
        <v/>
      </c>
      <c r="J28" s="82">
        <f>$E$3*Global_Assumptions!$B$66*B28</f>
        <v/>
      </c>
      <c r="K28" s="82">
        <f>($E$5*Global_Assumptions!$B$20+$E$3*Global_Assumptions!$B$68*(--($A28&lt;=Global_Assumptions!$B$86)))*B28</f>
        <v/>
      </c>
      <c r="L28" s="82">
        <f>J28+K28-(C28+D28+E28+F28+G28+H28+I28)</f>
        <v/>
      </c>
      <c r="M28" s="82">
        <f>L28/(1+Global_Assumptions!$B$7)^$A28</f>
        <v/>
      </c>
    </row>
    <row r="29" ht="15" customHeight="1" s="45">
      <c r="A29" s="52" t="n">
        <v>12</v>
      </c>
      <c r="B29" s="80">
        <f>1-MIN(8760,SUMPRODUCT(Lifecycle_50yr!$B$4:$B$10,Lifecycle_50yr!$F$4:$F$10,--(MOD($A29,Lifecycle_50yr!$C$4:$C$10)=0))+SUMPRODUCT(Lifecycle_50yr!$B$4:$B$10,Lifecycle_50yr!$E$4:$E$10,--(MOD($A29,Lifecycle_50yr!$M$4:$M$10)=0))+SUMPRODUCT(Lifecycle_50yr!$B$4:$B$10,Lifecycle_50yr!$P$4:$P$10))/8760</f>
        <v/>
      </c>
      <c r="C29" s="82">
        <f>IF($A29=1,$H$6,0)</f>
        <v/>
      </c>
      <c r="D29" s="82">
        <f>SUMPRODUCT(Lifecycle_50yr!$B$4:$B$10,Lifecycle_50yr!$G$4:$G$10,--(MOD($A29,Lifecycle_50yr!$C$4:$C$10)=0))</f>
        <v/>
      </c>
      <c r="E29" s="82">
        <f>SUMPRODUCT(Lifecycle_50yr!$B$4:$B$10,Lifecycle_50yr!$H$4:$H$10,--(MOD($A29,Lifecycle_50yr!$M$4:$M$10)=0))</f>
        <v/>
      </c>
      <c r="F29" s="82">
        <f>Blend_Properties!$B$3*(1-$E$4)*Global_Assumptions!$B$16/$E$7*B29</f>
        <v/>
      </c>
      <c r="G29" s="82">
        <f>$E$3*Global_Assumptions!$B$13/$E$7*B29</f>
        <v/>
      </c>
      <c r="H29" s="82">
        <f>$B$15*B29</f>
        <v/>
      </c>
      <c r="I29" s="82">
        <f>($B$11+$B$14)*B29+$B$12+$B$13</f>
        <v/>
      </c>
      <c r="J29" s="82">
        <f>$E$3*Global_Assumptions!$B$66*B29</f>
        <v/>
      </c>
      <c r="K29" s="82">
        <f>($E$5*Global_Assumptions!$B$20+$E$3*Global_Assumptions!$B$68*(--($A29&lt;=Global_Assumptions!$B$86)))*B29</f>
        <v/>
      </c>
      <c r="L29" s="82">
        <f>J29+K29-(C29+D29+E29+F29+G29+H29+I29)</f>
        <v/>
      </c>
      <c r="M29" s="82">
        <f>L29/(1+Global_Assumptions!$B$7)^$A29</f>
        <v/>
      </c>
    </row>
    <row r="30" ht="15" customHeight="1" s="45">
      <c r="A30" s="52" t="n">
        <v>13</v>
      </c>
      <c r="B30" s="80">
        <f>1-MIN(8760,SUMPRODUCT(Lifecycle_50yr!$B$4:$B$10,Lifecycle_50yr!$F$4:$F$10,--(MOD($A30,Lifecycle_50yr!$C$4:$C$10)=0))+SUMPRODUCT(Lifecycle_50yr!$B$4:$B$10,Lifecycle_50yr!$E$4:$E$10,--(MOD($A30,Lifecycle_50yr!$M$4:$M$10)=0))+SUMPRODUCT(Lifecycle_50yr!$B$4:$B$10,Lifecycle_50yr!$P$4:$P$10))/8760</f>
        <v/>
      </c>
      <c r="C30" s="82">
        <f>IF($A30=1,$H$6,0)</f>
        <v/>
      </c>
      <c r="D30" s="82">
        <f>SUMPRODUCT(Lifecycle_50yr!$B$4:$B$10,Lifecycle_50yr!$G$4:$G$10,--(MOD($A30,Lifecycle_50yr!$C$4:$C$10)=0))</f>
        <v/>
      </c>
      <c r="E30" s="82">
        <f>SUMPRODUCT(Lifecycle_50yr!$B$4:$B$10,Lifecycle_50yr!$H$4:$H$10,--(MOD($A30,Lifecycle_50yr!$M$4:$M$10)=0))</f>
        <v/>
      </c>
      <c r="F30" s="82">
        <f>Blend_Properties!$B$3*(1-$E$4)*Global_Assumptions!$B$16/$E$7*B30</f>
        <v/>
      </c>
      <c r="G30" s="82">
        <f>$E$3*Global_Assumptions!$B$13/$E$7*B30</f>
        <v/>
      </c>
      <c r="H30" s="82">
        <f>$B$15*B30</f>
        <v/>
      </c>
      <c r="I30" s="82">
        <f>($B$11+$B$14)*B30+$B$12+$B$13</f>
        <v/>
      </c>
      <c r="J30" s="82">
        <f>$E$3*Global_Assumptions!$B$66*B30</f>
        <v/>
      </c>
      <c r="K30" s="82">
        <f>($E$5*Global_Assumptions!$B$20+$E$3*Global_Assumptions!$B$68*(--($A30&lt;=Global_Assumptions!$B$86)))*B30</f>
        <v/>
      </c>
      <c r="L30" s="82">
        <f>J30+K30-(C30+D30+E30+F30+G30+H30+I30)</f>
        <v/>
      </c>
      <c r="M30" s="82">
        <f>L30/(1+Global_Assumptions!$B$7)^$A30</f>
        <v/>
      </c>
    </row>
    <row r="31" ht="15" customHeight="1" s="45">
      <c r="A31" s="52" t="n">
        <v>14</v>
      </c>
      <c r="B31" s="80">
        <f>1-MIN(8760,SUMPRODUCT(Lifecycle_50yr!$B$4:$B$10,Lifecycle_50yr!$F$4:$F$10,--(MOD($A31,Lifecycle_50yr!$C$4:$C$10)=0))+SUMPRODUCT(Lifecycle_50yr!$B$4:$B$10,Lifecycle_50yr!$E$4:$E$10,--(MOD($A31,Lifecycle_50yr!$M$4:$M$10)=0))+SUMPRODUCT(Lifecycle_50yr!$B$4:$B$10,Lifecycle_50yr!$P$4:$P$10))/8760</f>
        <v/>
      </c>
      <c r="C31" s="82">
        <f>IF($A31=1,$H$6,0)</f>
        <v/>
      </c>
      <c r="D31" s="82">
        <f>SUMPRODUCT(Lifecycle_50yr!$B$4:$B$10,Lifecycle_50yr!$G$4:$G$10,--(MOD($A31,Lifecycle_50yr!$C$4:$C$10)=0))</f>
        <v/>
      </c>
      <c r="E31" s="82">
        <f>SUMPRODUCT(Lifecycle_50yr!$B$4:$B$10,Lifecycle_50yr!$H$4:$H$10,--(MOD($A31,Lifecycle_50yr!$M$4:$M$10)=0))</f>
        <v/>
      </c>
      <c r="F31" s="82">
        <f>Blend_Properties!$B$3*(1-$E$4)*Global_Assumptions!$B$16/$E$7*B31</f>
        <v/>
      </c>
      <c r="G31" s="82">
        <f>$E$3*Global_Assumptions!$B$13/$E$7*B31</f>
        <v/>
      </c>
      <c r="H31" s="82">
        <f>$B$15*B31</f>
        <v/>
      </c>
      <c r="I31" s="82">
        <f>($B$11+$B$14)*B31+$B$12+$B$13</f>
        <v/>
      </c>
      <c r="J31" s="82">
        <f>$E$3*Global_Assumptions!$B$66*B31</f>
        <v/>
      </c>
      <c r="K31" s="82">
        <f>($E$5*Global_Assumptions!$B$20+$E$3*Global_Assumptions!$B$68*(--($A31&lt;=Global_Assumptions!$B$86)))*B31</f>
        <v/>
      </c>
      <c r="L31" s="82">
        <f>J31+K31-(C31+D31+E31+F31+G31+H31+I31)</f>
        <v/>
      </c>
      <c r="M31" s="82">
        <f>L31/(1+Global_Assumptions!$B$7)^$A31</f>
        <v/>
      </c>
    </row>
    <row r="32" ht="15" customHeight="1" s="45">
      <c r="A32" s="52" t="n">
        <v>15</v>
      </c>
      <c r="B32" s="80">
        <f>1-MIN(8760,SUMPRODUCT(Lifecycle_50yr!$B$4:$B$10,Lifecycle_50yr!$F$4:$F$10,--(MOD($A32,Lifecycle_50yr!$C$4:$C$10)=0))+SUMPRODUCT(Lifecycle_50yr!$B$4:$B$10,Lifecycle_50yr!$E$4:$E$10,--(MOD($A32,Lifecycle_50yr!$M$4:$M$10)=0))+SUMPRODUCT(Lifecycle_50yr!$B$4:$B$10,Lifecycle_50yr!$P$4:$P$10))/8760</f>
        <v/>
      </c>
      <c r="C32" s="82">
        <f>IF($A32=1,$H$6,0)</f>
        <v/>
      </c>
      <c r="D32" s="82">
        <f>SUMPRODUCT(Lifecycle_50yr!$B$4:$B$10,Lifecycle_50yr!$G$4:$G$10,--(MOD($A32,Lifecycle_50yr!$C$4:$C$10)=0))</f>
        <v/>
      </c>
      <c r="E32" s="82">
        <f>SUMPRODUCT(Lifecycle_50yr!$B$4:$B$10,Lifecycle_50yr!$H$4:$H$10,--(MOD($A32,Lifecycle_50yr!$M$4:$M$10)=0))</f>
        <v/>
      </c>
      <c r="F32" s="82">
        <f>Blend_Properties!$B$3*(1-$E$4)*Global_Assumptions!$B$16/$E$7*B32</f>
        <v/>
      </c>
      <c r="G32" s="82">
        <f>$E$3*Global_Assumptions!$B$13/$E$7*B32</f>
        <v/>
      </c>
      <c r="H32" s="82">
        <f>$B$15*B32</f>
        <v/>
      </c>
      <c r="I32" s="82">
        <f>($B$11+$B$14)*B32+$B$12+$B$13</f>
        <v/>
      </c>
      <c r="J32" s="82">
        <f>$E$3*Global_Assumptions!$B$66*B32</f>
        <v/>
      </c>
      <c r="K32" s="82">
        <f>($E$5*Global_Assumptions!$B$20+$E$3*Global_Assumptions!$B$68*(--($A32&lt;=Global_Assumptions!$B$86)))*B32</f>
        <v/>
      </c>
      <c r="L32" s="82">
        <f>J32+K32-(C32+D32+E32+F32+G32+H32+I32)</f>
        <v/>
      </c>
      <c r="M32" s="82">
        <f>L32/(1+Global_Assumptions!$B$7)^$A32</f>
        <v/>
      </c>
    </row>
    <row r="33" ht="15" customHeight="1" s="45">
      <c r="A33" s="52" t="n">
        <v>16</v>
      </c>
      <c r="B33" s="80">
        <f>1-MIN(8760,SUMPRODUCT(Lifecycle_50yr!$B$4:$B$10,Lifecycle_50yr!$F$4:$F$10,--(MOD($A33,Lifecycle_50yr!$C$4:$C$10)=0))+SUMPRODUCT(Lifecycle_50yr!$B$4:$B$10,Lifecycle_50yr!$E$4:$E$10,--(MOD($A33,Lifecycle_50yr!$M$4:$M$10)=0))+SUMPRODUCT(Lifecycle_50yr!$B$4:$B$10,Lifecycle_50yr!$P$4:$P$10))/8760</f>
        <v/>
      </c>
      <c r="C33" s="82">
        <f>IF($A33=1,$H$6,0)</f>
        <v/>
      </c>
      <c r="D33" s="82">
        <f>SUMPRODUCT(Lifecycle_50yr!$B$4:$B$10,Lifecycle_50yr!$G$4:$G$10,--(MOD($A33,Lifecycle_50yr!$C$4:$C$10)=0))</f>
        <v/>
      </c>
      <c r="E33" s="82">
        <f>SUMPRODUCT(Lifecycle_50yr!$B$4:$B$10,Lifecycle_50yr!$H$4:$H$10,--(MOD($A33,Lifecycle_50yr!$M$4:$M$10)=0))</f>
        <v/>
      </c>
      <c r="F33" s="82">
        <f>Blend_Properties!$B$3*(1-$E$4)*Global_Assumptions!$B$16/$E$7*B33</f>
        <v/>
      </c>
      <c r="G33" s="82">
        <f>$E$3*Global_Assumptions!$B$13/$E$7*B33</f>
        <v/>
      </c>
      <c r="H33" s="82">
        <f>$B$15*B33</f>
        <v/>
      </c>
      <c r="I33" s="82">
        <f>($B$11+$B$14)*B33+$B$12+$B$13</f>
        <v/>
      </c>
      <c r="J33" s="82">
        <f>$E$3*Global_Assumptions!$B$66*B33</f>
        <v/>
      </c>
      <c r="K33" s="82">
        <f>($E$5*Global_Assumptions!$B$20+$E$3*Global_Assumptions!$B$68*(--($A33&lt;=Global_Assumptions!$B$86)))*B33</f>
        <v/>
      </c>
      <c r="L33" s="82">
        <f>J33+K33-(C33+D33+E33+F33+G33+H33+I33)</f>
        <v/>
      </c>
      <c r="M33" s="82">
        <f>L33/(1+Global_Assumptions!$B$7)^$A33</f>
        <v/>
      </c>
    </row>
    <row r="34" ht="15" customHeight="1" s="45">
      <c r="A34" s="52" t="n">
        <v>17</v>
      </c>
      <c r="B34" s="80">
        <f>1-MIN(8760,SUMPRODUCT(Lifecycle_50yr!$B$4:$B$10,Lifecycle_50yr!$F$4:$F$10,--(MOD($A34,Lifecycle_50yr!$C$4:$C$10)=0))+SUMPRODUCT(Lifecycle_50yr!$B$4:$B$10,Lifecycle_50yr!$E$4:$E$10,--(MOD($A34,Lifecycle_50yr!$M$4:$M$10)=0))+SUMPRODUCT(Lifecycle_50yr!$B$4:$B$10,Lifecycle_50yr!$P$4:$P$10))/8760</f>
        <v/>
      </c>
      <c r="C34" s="82">
        <f>IF($A34=1,$H$6,0)</f>
        <v/>
      </c>
      <c r="D34" s="82">
        <f>SUMPRODUCT(Lifecycle_50yr!$B$4:$B$10,Lifecycle_50yr!$G$4:$G$10,--(MOD($A34,Lifecycle_50yr!$C$4:$C$10)=0))</f>
        <v/>
      </c>
      <c r="E34" s="82">
        <f>SUMPRODUCT(Lifecycle_50yr!$B$4:$B$10,Lifecycle_50yr!$H$4:$H$10,--(MOD($A34,Lifecycle_50yr!$M$4:$M$10)=0))</f>
        <v/>
      </c>
      <c r="F34" s="82">
        <f>Blend_Properties!$B$3*(1-$E$4)*Global_Assumptions!$B$16/$E$7*B34</f>
        <v/>
      </c>
      <c r="G34" s="82">
        <f>$E$3*Global_Assumptions!$B$13/$E$7*B34</f>
        <v/>
      </c>
      <c r="H34" s="82">
        <f>$B$15*B34</f>
        <v/>
      </c>
      <c r="I34" s="82">
        <f>($B$11+$B$14)*B34+$B$12+$B$13</f>
        <v/>
      </c>
      <c r="J34" s="82">
        <f>$E$3*Global_Assumptions!$B$66*B34</f>
        <v/>
      </c>
      <c r="K34" s="82">
        <f>($E$5*Global_Assumptions!$B$20+$E$3*Global_Assumptions!$B$68*(--($A34&lt;=Global_Assumptions!$B$86)))*B34</f>
        <v/>
      </c>
      <c r="L34" s="82">
        <f>J34+K34-(C34+D34+E34+F34+G34+H34+I34)</f>
        <v/>
      </c>
      <c r="M34" s="82">
        <f>L34/(1+Global_Assumptions!$B$7)^$A34</f>
        <v/>
      </c>
    </row>
    <row r="35" ht="15" customHeight="1" s="45">
      <c r="A35" s="52" t="n">
        <v>18</v>
      </c>
      <c r="B35" s="80">
        <f>1-MIN(8760,SUMPRODUCT(Lifecycle_50yr!$B$4:$B$10,Lifecycle_50yr!$F$4:$F$10,--(MOD($A35,Lifecycle_50yr!$C$4:$C$10)=0))+SUMPRODUCT(Lifecycle_50yr!$B$4:$B$10,Lifecycle_50yr!$E$4:$E$10,--(MOD($A35,Lifecycle_50yr!$M$4:$M$10)=0))+SUMPRODUCT(Lifecycle_50yr!$B$4:$B$10,Lifecycle_50yr!$P$4:$P$10))/8760</f>
        <v/>
      </c>
      <c r="C35" s="82">
        <f>IF($A35=1,$H$6,0)</f>
        <v/>
      </c>
      <c r="D35" s="82">
        <f>SUMPRODUCT(Lifecycle_50yr!$B$4:$B$10,Lifecycle_50yr!$G$4:$G$10,--(MOD($A35,Lifecycle_50yr!$C$4:$C$10)=0))</f>
        <v/>
      </c>
      <c r="E35" s="82">
        <f>SUMPRODUCT(Lifecycle_50yr!$B$4:$B$10,Lifecycle_50yr!$H$4:$H$10,--(MOD($A35,Lifecycle_50yr!$M$4:$M$10)=0))</f>
        <v/>
      </c>
      <c r="F35" s="82">
        <f>Blend_Properties!$B$3*(1-$E$4)*Global_Assumptions!$B$16/$E$7*B35</f>
        <v/>
      </c>
      <c r="G35" s="82">
        <f>$E$3*Global_Assumptions!$B$13/$E$7*B35</f>
        <v/>
      </c>
      <c r="H35" s="82">
        <f>$B$15*B35</f>
        <v/>
      </c>
      <c r="I35" s="82">
        <f>($B$11+$B$14)*B35+$B$12+$B$13</f>
        <v/>
      </c>
      <c r="J35" s="82">
        <f>$E$3*Global_Assumptions!$B$66*B35</f>
        <v/>
      </c>
      <c r="K35" s="82">
        <f>($E$5*Global_Assumptions!$B$20+$E$3*Global_Assumptions!$B$68*(--($A35&lt;=Global_Assumptions!$B$86)))*B35</f>
        <v/>
      </c>
      <c r="L35" s="82">
        <f>J35+K35-(C35+D35+E35+F35+G35+H35+I35)</f>
        <v/>
      </c>
      <c r="M35" s="82">
        <f>L35/(1+Global_Assumptions!$B$7)^$A35</f>
        <v/>
      </c>
    </row>
    <row r="36" ht="15" customHeight="1" s="45">
      <c r="A36" s="52" t="n">
        <v>19</v>
      </c>
      <c r="B36" s="80">
        <f>1-MIN(8760,SUMPRODUCT(Lifecycle_50yr!$B$4:$B$10,Lifecycle_50yr!$F$4:$F$10,--(MOD($A36,Lifecycle_50yr!$C$4:$C$10)=0))+SUMPRODUCT(Lifecycle_50yr!$B$4:$B$10,Lifecycle_50yr!$E$4:$E$10,--(MOD($A36,Lifecycle_50yr!$M$4:$M$10)=0))+SUMPRODUCT(Lifecycle_50yr!$B$4:$B$10,Lifecycle_50yr!$P$4:$P$10))/8760</f>
        <v/>
      </c>
      <c r="C36" s="82">
        <f>IF($A36=1,$H$6,0)</f>
        <v/>
      </c>
      <c r="D36" s="82">
        <f>SUMPRODUCT(Lifecycle_50yr!$B$4:$B$10,Lifecycle_50yr!$G$4:$G$10,--(MOD($A36,Lifecycle_50yr!$C$4:$C$10)=0))</f>
        <v/>
      </c>
      <c r="E36" s="82">
        <f>SUMPRODUCT(Lifecycle_50yr!$B$4:$B$10,Lifecycle_50yr!$H$4:$H$10,--(MOD($A36,Lifecycle_50yr!$M$4:$M$10)=0))</f>
        <v/>
      </c>
      <c r="F36" s="82">
        <f>Blend_Properties!$B$3*(1-$E$4)*Global_Assumptions!$B$16/$E$7*B36</f>
        <v/>
      </c>
      <c r="G36" s="82">
        <f>$E$3*Global_Assumptions!$B$13/$E$7*B36</f>
        <v/>
      </c>
      <c r="H36" s="82">
        <f>$B$15*B36</f>
        <v/>
      </c>
      <c r="I36" s="82">
        <f>($B$11+$B$14)*B36+$B$12+$B$13</f>
        <v/>
      </c>
      <c r="J36" s="82">
        <f>$E$3*Global_Assumptions!$B$66*B36</f>
        <v/>
      </c>
      <c r="K36" s="82">
        <f>($E$5*Global_Assumptions!$B$20+$E$3*Global_Assumptions!$B$68*(--($A36&lt;=Global_Assumptions!$B$86)))*B36</f>
        <v/>
      </c>
      <c r="L36" s="82">
        <f>J36+K36-(C36+D36+E36+F36+G36+H36+I36)</f>
        <v/>
      </c>
      <c r="M36" s="82">
        <f>L36/(1+Global_Assumptions!$B$7)^$A36</f>
        <v/>
      </c>
    </row>
    <row r="37" ht="15" customHeight="1" s="45">
      <c r="A37" s="52" t="n">
        <v>20</v>
      </c>
      <c r="B37" s="80">
        <f>1-MIN(8760,SUMPRODUCT(Lifecycle_50yr!$B$4:$B$10,Lifecycle_50yr!$F$4:$F$10,--(MOD($A37,Lifecycle_50yr!$C$4:$C$10)=0))+SUMPRODUCT(Lifecycle_50yr!$B$4:$B$10,Lifecycle_50yr!$E$4:$E$10,--(MOD($A37,Lifecycle_50yr!$M$4:$M$10)=0))+SUMPRODUCT(Lifecycle_50yr!$B$4:$B$10,Lifecycle_50yr!$P$4:$P$10))/8760</f>
        <v/>
      </c>
      <c r="C37" s="82">
        <f>IF($A37=1,$H$6,0)</f>
        <v/>
      </c>
      <c r="D37" s="82">
        <f>SUMPRODUCT(Lifecycle_50yr!$B$4:$B$10,Lifecycle_50yr!$G$4:$G$10,--(MOD($A37,Lifecycle_50yr!$C$4:$C$10)=0))</f>
        <v/>
      </c>
      <c r="E37" s="82">
        <f>SUMPRODUCT(Lifecycle_50yr!$B$4:$B$10,Lifecycle_50yr!$H$4:$H$10,--(MOD($A37,Lifecycle_50yr!$M$4:$M$10)=0))</f>
        <v/>
      </c>
      <c r="F37" s="82">
        <f>Blend_Properties!$B$3*(1-$E$4)*Global_Assumptions!$B$16/$E$7*B37</f>
        <v/>
      </c>
      <c r="G37" s="82">
        <f>$E$3*Global_Assumptions!$B$13/$E$7*B37</f>
        <v/>
      </c>
      <c r="H37" s="82">
        <f>$B$15*B37</f>
        <v/>
      </c>
      <c r="I37" s="82">
        <f>($B$11+$B$14)*B37+$B$12+$B$13</f>
        <v/>
      </c>
      <c r="J37" s="82">
        <f>$E$3*Global_Assumptions!$B$66*B37</f>
        <v/>
      </c>
      <c r="K37" s="82">
        <f>($E$5*Global_Assumptions!$B$20+$E$3*Global_Assumptions!$B$68*(--($A37&lt;=Global_Assumptions!$B$86)))*B37</f>
        <v/>
      </c>
      <c r="L37" s="82">
        <f>J37+K37-(C37+D37+E37+F37+G37+H37+I37)</f>
        <v/>
      </c>
      <c r="M37" s="82">
        <f>L37/(1+Global_Assumptions!$B$7)^$A37</f>
        <v/>
      </c>
    </row>
    <row r="38" ht="15" customHeight="1" s="45">
      <c r="A38" s="52" t="n">
        <v>21</v>
      </c>
      <c r="B38" s="80">
        <f>1-MIN(8760,SUMPRODUCT(Lifecycle_50yr!$B$4:$B$10,Lifecycle_50yr!$F$4:$F$10,--(MOD($A38,Lifecycle_50yr!$C$4:$C$10)=0))+SUMPRODUCT(Lifecycle_50yr!$B$4:$B$10,Lifecycle_50yr!$E$4:$E$10,--(MOD($A38,Lifecycle_50yr!$M$4:$M$10)=0))+SUMPRODUCT(Lifecycle_50yr!$B$4:$B$10,Lifecycle_50yr!$P$4:$P$10))/8760</f>
        <v/>
      </c>
      <c r="C38" s="82">
        <f>IF($A38=1,$H$6,0)</f>
        <v/>
      </c>
      <c r="D38" s="82">
        <f>SUMPRODUCT(Lifecycle_50yr!$B$4:$B$10,Lifecycle_50yr!$G$4:$G$10,--(MOD($A38,Lifecycle_50yr!$C$4:$C$10)=0))</f>
        <v/>
      </c>
      <c r="E38" s="82">
        <f>SUMPRODUCT(Lifecycle_50yr!$B$4:$B$10,Lifecycle_50yr!$H$4:$H$10,--(MOD($A38,Lifecycle_50yr!$M$4:$M$10)=0))</f>
        <v/>
      </c>
      <c r="F38" s="82">
        <f>Blend_Properties!$B$3*(1-$E$4)*Global_Assumptions!$B$16/$E$7*B38</f>
        <v/>
      </c>
      <c r="G38" s="82">
        <f>$E$3*Global_Assumptions!$B$13/$E$7*B38</f>
        <v/>
      </c>
      <c r="H38" s="82">
        <f>$B$15*B38</f>
        <v/>
      </c>
      <c r="I38" s="82">
        <f>($B$11+$B$14)*B38+$B$12+$B$13</f>
        <v/>
      </c>
      <c r="J38" s="82">
        <f>$E$3*Global_Assumptions!$B$66*B38</f>
        <v/>
      </c>
      <c r="K38" s="82">
        <f>($E$5*Global_Assumptions!$B$20+$E$3*Global_Assumptions!$B$68*(--($A38&lt;=Global_Assumptions!$B$86)))*B38</f>
        <v/>
      </c>
      <c r="L38" s="82">
        <f>J38+K38-(C38+D38+E38+F38+G38+H38+I38)</f>
        <v/>
      </c>
      <c r="M38" s="82">
        <f>L38/(1+Global_Assumptions!$B$7)^$A38</f>
        <v/>
      </c>
    </row>
    <row r="39" ht="15" customHeight="1" s="45">
      <c r="A39" s="52" t="n">
        <v>22</v>
      </c>
      <c r="B39" s="80">
        <f>1-MIN(8760,SUMPRODUCT(Lifecycle_50yr!$B$4:$B$10,Lifecycle_50yr!$F$4:$F$10,--(MOD($A39,Lifecycle_50yr!$C$4:$C$10)=0))+SUMPRODUCT(Lifecycle_50yr!$B$4:$B$10,Lifecycle_50yr!$E$4:$E$10,--(MOD($A39,Lifecycle_50yr!$M$4:$M$10)=0))+SUMPRODUCT(Lifecycle_50yr!$B$4:$B$10,Lifecycle_50yr!$P$4:$P$10))/8760</f>
        <v/>
      </c>
      <c r="C39" s="82">
        <f>IF($A39=1,$H$6,0)</f>
        <v/>
      </c>
      <c r="D39" s="82">
        <f>SUMPRODUCT(Lifecycle_50yr!$B$4:$B$10,Lifecycle_50yr!$G$4:$G$10,--(MOD($A39,Lifecycle_50yr!$C$4:$C$10)=0))</f>
        <v/>
      </c>
      <c r="E39" s="82">
        <f>SUMPRODUCT(Lifecycle_50yr!$B$4:$B$10,Lifecycle_50yr!$H$4:$H$10,--(MOD($A39,Lifecycle_50yr!$M$4:$M$10)=0))</f>
        <v/>
      </c>
      <c r="F39" s="82">
        <f>Blend_Properties!$B$3*(1-$E$4)*Global_Assumptions!$B$16/$E$7*B39</f>
        <v/>
      </c>
      <c r="G39" s="82">
        <f>$E$3*Global_Assumptions!$B$13/$E$7*B39</f>
        <v/>
      </c>
      <c r="H39" s="82">
        <f>$B$15*B39</f>
        <v/>
      </c>
      <c r="I39" s="82">
        <f>($B$11+$B$14)*B39+$B$12+$B$13</f>
        <v/>
      </c>
      <c r="J39" s="82">
        <f>$E$3*Global_Assumptions!$B$66*B39</f>
        <v/>
      </c>
      <c r="K39" s="82">
        <f>($E$5*Global_Assumptions!$B$20+$E$3*Global_Assumptions!$B$68*(--($A39&lt;=Global_Assumptions!$B$86)))*B39</f>
        <v/>
      </c>
      <c r="L39" s="82">
        <f>J39+K39-(C39+D39+E39+F39+G39+H39+I39)</f>
        <v/>
      </c>
      <c r="M39" s="82">
        <f>L39/(1+Global_Assumptions!$B$7)^$A39</f>
        <v/>
      </c>
    </row>
    <row r="40" ht="15" customHeight="1" s="45">
      <c r="A40" s="52" t="n">
        <v>23</v>
      </c>
      <c r="B40" s="80">
        <f>1-MIN(8760,SUMPRODUCT(Lifecycle_50yr!$B$4:$B$10,Lifecycle_50yr!$F$4:$F$10,--(MOD($A40,Lifecycle_50yr!$C$4:$C$10)=0))+SUMPRODUCT(Lifecycle_50yr!$B$4:$B$10,Lifecycle_50yr!$E$4:$E$10,--(MOD($A40,Lifecycle_50yr!$M$4:$M$10)=0))+SUMPRODUCT(Lifecycle_50yr!$B$4:$B$10,Lifecycle_50yr!$P$4:$P$10))/8760</f>
        <v/>
      </c>
      <c r="C40" s="82">
        <f>IF($A40=1,$H$6,0)</f>
        <v/>
      </c>
      <c r="D40" s="82">
        <f>SUMPRODUCT(Lifecycle_50yr!$B$4:$B$10,Lifecycle_50yr!$G$4:$G$10,--(MOD($A40,Lifecycle_50yr!$C$4:$C$10)=0))</f>
        <v/>
      </c>
      <c r="E40" s="82">
        <f>SUMPRODUCT(Lifecycle_50yr!$B$4:$B$10,Lifecycle_50yr!$H$4:$H$10,--(MOD($A40,Lifecycle_50yr!$M$4:$M$10)=0))</f>
        <v/>
      </c>
      <c r="F40" s="82">
        <f>Blend_Properties!$B$3*(1-$E$4)*Global_Assumptions!$B$16/$E$7*B40</f>
        <v/>
      </c>
      <c r="G40" s="82">
        <f>$E$3*Global_Assumptions!$B$13/$E$7*B40</f>
        <v/>
      </c>
      <c r="H40" s="82">
        <f>$B$15*B40</f>
        <v/>
      </c>
      <c r="I40" s="82">
        <f>($B$11+$B$14)*B40+$B$12+$B$13</f>
        <v/>
      </c>
      <c r="J40" s="82">
        <f>$E$3*Global_Assumptions!$B$66*B40</f>
        <v/>
      </c>
      <c r="K40" s="82">
        <f>($E$5*Global_Assumptions!$B$20+$E$3*Global_Assumptions!$B$68*(--($A40&lt;=Global_Assumptions!$B$86)))*B40</f>
        <v/>
      </c>
      <c r="L40" s="82">
        <f>J40+K40-(C40+D40+E40+F40+G40+H40+I40)</f>
        <v/>
      </c>
      <c r="M40" s="82">
        <f>L40/(1+Global_Assumptions!$B$7)^$A40</f>
        <v/>
      </c>
    </row>
    <row r="41" ht="15" customHeight="1" s="45">
      <c r="A41" s="52" t="n">
        <v>24</v>
      </c>
      <c r="B41" s="80">
        <f>1-MIN(8760,SUMPRODUCT(Lifecycle_50yr!$B$4:$B$10,Lifecycle_50yr!$F$4:$F$10,--(MOD($A41,Lifecycle_50yr!$C$4:$C$10)=0))+SUMPRODUCT(Lifecycle_50yr!$B$4:$B$10,Lifecycle_50yr!$E$4:$E$10,--(MOD($A41,Lifecycle_50yr!$M$4:$M$10)=0))+SUMPRODUCT(Lifecycle_50yr!$B$4:$B$10,Lifecycle_50yr!$P$4:$P$10))/8760</f>
        <v/>
      </c>
      <c r="C41" s="82">
        <f>IF($A41=1,$H$6,0)</f>
        <v/>
      </c>
      <c r="D41" s="82">
        <f>SUMPRODUCT(Lifecycle_50yr!$B$4:$B$10,Lifecycle_50yr!$G$4:$G$10,--(MOD($A41,Lifecycle_50yr!$C$4:$C$10)=0))</f>
        <v/>
      </c>
      <c r="E41" s="82">
        <f>SUMPRODUCT(Lifecycle_50yr!$B$4:$B$10,Lifecycle_50yr!$H$4:$H$10,--(MOD($A41,Lifecycle_50yr!$M$4:$M$10)=0))</f>
        <v/>
      </c>
      <c r="F41" s="82">
        <f>Blend_Properties!$B$3*(1-$E$4)*Global_Assumptions!$B$16/$E$7*B41</f>
        <v/>
      </c>
      <c r="G41" s="82">
        <f>$E$3*Global_Assumptions!$B$13/$E$7*B41</f>
        <v/>
      </c>
      <c r="H41" s="82">
        <f>$B$15*B41</f>
        <v/>
      </c>
      <c r="I41" s="82">
        <f>($B$11+$B$14)*B41+$B$12+$B$13</f>
        <v/>
      </c>
      <c r="J41" s="82">
        <f>$E$3*Global_Assumptions!$B$66*B41</f>
        <v/>
      </c>
      <c r="K41" s="82">
        <f>($E$5*Global_Assumptions!$B$20+$E$3*Global_Assumptions!$B$68*(--($A41&lt;=Global_Assumptions!$B$86)))*B41</f>
        <v/>
      </c>
      <c r="L41" s="82">
        <f>J41+K41-(C41+D41+E41+F41+G41+H41+I41)</f>
        <v/>
      </c>
      <c r="M41" s="82">
        <f>L41/(1+Global_Assumptions!$B$7)^$A41</f>
        <v/>
      </c>
    </row>
    <row r="42" ht="15" customHeight="1" s="45">
      <c r="A42" s="52" t="n">
        <v>25</v>
      </c>
      <c r="B42" s="80">
        <f>1-MIN(8760,SUMPRODUCT(Lifecycle_50yr!$B$4:$B$10,Lifecycle_50yr!$F$4:$F$10,--(MOD($A42,Lifecycle_50yr!$C$4:$C$10)=0))+SUMPRODUCT(Lifecycle_50yr!$B$4:$B$10,Lifecycle_50yr!$E$4:$E$10,--(MOD($A42,Lifecycle_50yr!$M$4:$M$10)=0))+SUMPRODUCT(Lifecycle_50yr!$B$4:$B$10,Lifecycle_50yr!$P$4:$P$10))/8760</f>
        <v/>
      </c>
      <c r="C42" s="82">
        <f>IF($A42=1,$H$6,0)</f>
        <v/>
      </c>
      <c r="D42" s="82">
        <f>SUMPRODUCT(Lifecycle_50yr!$B$4:$B$10,Lifecycle_50yr!$G$4:$G$10,--(MOD($A42,Lifecycle_50yr!$C$4:$C$10)=0))</f>
        <v/>
      </c>
      <c r="E42" s="82">
        <f>SUMPRODUCT(Lifecycle_50yr!$B$4:$B$10,Lifecycle_50yr!$H$4:$H$10,--(MOD($A42,Lifecycle_50yr!$M$4:$M$10)=0))</f>
        <v/>
      </c>
      <c r="F42" s="82">
        <f>Blend_Properties!$B$3*(1-$E$4)*Global_Assumptions!$B$16/$E$7*B42</f>
        <v/>
      </c>
      <c r="G42" s="82">
        <f>$E$3*Global_Assumptions!$B$13/$E$7*B42</f>
        <v/>
      </c>
      <c r="H42" s="82">
        <f>$B$15*B42</f>
        <v/>
      </c>
      <c r="I42" s="82">
        <f>($B$11+$B$14)*B42+$B$12+$B$13</f>
        <v/>
      </c>
      <c r="J42" s="82">
        <f>$E$3*Global_Assumptions!$B$66*B42</f>
        <v/>
      </c>
      <c r="K42" s="82">
        <f>($E$5*Global_Assumptions!$B$20+$E$3*Global_Assumptions!$B$68*(--($A42&lt;=Global_Assumptions!$B$86)))*B42</f>
        <v/>
      </c>
      <c r="L42" s="82">
        <f>J42+K42-(C42+D42+E42+F42+G42+H42+I42)</f>
        <v/>
      </c>
      <c r="M42" s="82">
        <f>L42/(1+Global_Assumptions!$B$7)^$A42</f>
        <v/>
      </c>
    </row>
    <row r="43" ht="15" customHeight="1" s="45">
      <c r="A43" s="52" t="n">
        <v>26</v>
      </c>
      <c r="B43" s="80">
        <f>1-MIN(8760,SUMPRODUCT(Lifecycle_50yr!$B$4:$B$10,Lifecycle_50yr!$F$4:$F$10,--(MOD($A43,Lifecycle_50yr!$C$4:$C$10)=0))+SUMPRODUCT(Lifecycle_50yr!$B$4:$B$10,Lifecycle_50yr!$E$4:$E$10,--(MOD($A43,Lifecycle_50yr!$M$4:$M$10)=0))+SUMPRODUCT(Lifecycle_50yr!$B$4:$B$10,Lifecycle_50yr!$P$4:$P$10))/8760</f>
        <v/>
      </c>
      <c r="C43" s="82">
        <f>IF($A43=1,$H$6,0)</f>
        <v/>
      </c>
      <c r="D43" s="82">
        <f>SUMPRODUCT(Lifecycle_50yr!$B$4:$B$10,Lifecycle_50yr!$G$4:$G$10,--(MOD($A43,Lifecycle_50yr!$C$4:$C$10)=0))</f>
        <v/>
      </c>
      <c r="E43" s="82">
        <f>SUMPRODUCT(Lifecycle_50yr!$B$4:$B$10,Lifecycle_50yr!$H$4:$H$10,--(MOD($A43,Lifecycle_50yr!$M$4:$M$10)=0))</f>
        <v/>
      </c>
      <c r="F43" s="82">
        <f>Blend_Properties!$B$3*(1-$E$4)*Global_Assumptions!$B$16/$E$7*B43</f>
        <v/>
      </c>
      <c r="G43" s="82">
        <f>$E$3*Global_Assumptions!$B$13/$E$7*B43</f>
        <v/>
      </c>
      <c r="H43" s="82">
        <f>$B$15*B43</f>
        <v/>
      </c>
      <c r="I43" s="82">
        <f>($B$11+$B$14)*B43+$B$12+$B$13</f>
        <v/>
      </c>
      <c r="J43" s="82">
        <f>$E$3*Global_Assumptions!$B$66*B43</f>
        <v/>
      </c>
      <c r="K43" s="82">
        <f>($E$5*Global_Assumptions!$B$20+$E$3*Global_Assumptions!$B$68*(--($A43&lt;=Global_Assumptions!$B$86)))*B43</f>
        <v/>
      </c>
      <c r="L43" s="82">
        <f>J43+K43-(C43+D43+E43+F43+G43+H43+I43)</f>
        <v/>
      </c>
      <c r="M43" s="82">
        <f>L43/(1+Global_Assumptions!$B$7)^$A43</f>
        <v/>
      </c>
    </row>
    <row r="44" ht="15" customHeight="1" s="45">
      <c r="A44" s="52" t="n">
        <v>27</v>
      </c>
      <c r="B44" s="80">
        <f>1-MIN(8760,SUMPRODUCT(Lifecycle_50yr!$B$4:$B$10,Lifecycle_50yr!$F$4:$F$10,--(MOD($A44,Lifecycle_50yr!$C$4:$C$10)=0))+SUMPRODUCT(Lifecycle_50yr!$B$4:$B$10,Lifecycle_50yr!$E$4:$E$10,--(MOD($A44,Lifecycle_50yr!$M$4:$M$10)=0))+SUMPRODUCT(Lifecycle_50yr!$B$4:$B$10,Lifecycle_50yr!$P$4:$P$10))/8760</f>
        <v/>
      </c>
      <c r="C44" s="82">
        <f>IF($A44=1,$H$6,0)</f>
        <v/>
      </c>
      <c r="D44" s="82">
        <f>SUMPRODUCT(Lifecycle_50yr!$B$4:$B$10,Lifecycle_50yr!$G$4:$G$10,--(MOD($A44,Lifecycle_50yr!$C$4:$C$10)=0))</f>
        <v/>
      </c>
      <c r="E44" s="82">
        <f>SUMPRODUCT(Lifecycle_50yr!$B$4:$B$10,Lifecycle_50yr!$H$4:$H$10,--(MOD($A44,Lifecycle_50yr!$M$4:$M$10)=0))</f>
        <v/>
      </c>
      <c r="F44" s="82">
        <f>Blend_Properties!$B$3*(1-$E$4)*Global_Assumptions!$B$16/$E$7*B44</f>
        <v/>
      </c>
      <c r="G44" s="82">
        <f>$E$3*Global_Assumptions!$B$13/$E$7*B44</f>
        <v/>
      </c>
      <c r="H44" s="82">
        <f>$B$15*B44</f>
        <v/>
      </c>
      <c r="I44" s="82">
        <f>($B$11+$B$14)*B44+$B$12+$B$13</f>
        <v/>
      </c>
      <c r="J44" s="82">
        <f>$E$3*Global_Assumptions!$B$66*B44</f>
        <v/>
      </c>
      <c r="K44" s="82">
        <f>($E$5*Global_Assumptions!$B$20+$E$3*Global_Assumptions!$B$68*(--($A44&lt;=Global_Assumptions!$B$86)))*B44</f>
        <v/>
      </c>
      <c r="L44" s="82">
        <f>J44+K44-(C44+D44+E44+F44+G44+H44+I44)</f>
        <v/>
      </c>
      <c r="M44" s="82">
        <f>L44/(1+Global_Assumptions!$B$7)^$A44</f>
        <v/>
      </c>
    </row>
    <row r="45" ht="15" customHeight="1" s="45">
      <c r="A45" s="52" t="n">
        <v>28</v>
      </c>
      <c r="B45" s="80">
        <f>1-MIN(8760,SUMPRODUCT(Lifecycle_50yr!$B$4:$B$10,Lifecycle_50yr!$F$4:$F$10,--(MOD($A45,Lifecycle_50yr!$C$4:$C$10)=0))+SUMPRODUCT(Lifecycle_50yr!$B$4:$B$10,Lifecycle_50yr!$E$4:$E$10,--(MOD($A45,Lifecycle_50yr!$M$4:$M$10)=0))+SUMPRODUCT(Lifecycle_50yr!$B$4:$B$10,Lifecycle_50yr!$P$4:$P$10))/8760</f>
        <v/>
      </c>
      <c r="C45" s="82">
        <f>IF($A45=1,$H$6,0)</f>
        <v/>
      </c>
      <c r="D45" s="82">
        <f>SUMPRODUCT(Lifecycle_50yr!$B$4:$B$10,Lifecycle_50yr!$G$4:$G$10,--(MOD($A45,Lifecycle_50yr!$C$4:$C$10)=0))</f>
        <v/>
      </c>
      <c r="E45" s="82">
        <f>SUMPRODUCT(Lifecycle_50yr!$B$4:$B$10,Lifecycle_50yr!$H$4:$H$10,--(MOD($A45,Lifecycle_50yr!$M$4:$M$10)=0))</f>
        <v/>
      </c>
      <c r="F45" s="82">
        <f>Blend_Properties!$B$3*(1-$E$4)*Global_Assumptions!$B$16/$E$7*B45</f>
        <v/>
      </c>
      <c r="G45" s="82">
        <f>$E$3*Global_Assumptions!$B$13/$E$7*B45</f>
        <v/>
      </c>
      <c r="H45" s="82">
        <f>$B$15*B45</f>
        <v/>
      </c>
      <c r="I45" s="82">
        <f>($B$11+$B$14)*B45+$B$12+$B$13</f>
        <v/>
      </c>
      <c r="J45" s="82">
        <f>$E$3*Global_Assumptions!$B$66*B45</f>
        <v/>
      </c>
      <c r="K45" s="82">
        <f>($E$5*Global_Assumptions!$B$20+$E$3*Global_Assumptions!$B$68*(--($A45&lt;=Global_Assumptions!$B$86)))*B45</f>
        <v/>
      </c>
      <c r="L45" s="82">
        <f>J45+K45-(C45+D45+E45+F45+G45+H45+I45)</f>
        <v/>
      </c>
      <c r="M45" s="82">
        <f>L45/(1+Global_Assumptions!$B$7)^$A45</f>
        <v/>
      </c>
    </row>
    <row r="46" ht="15" customHeight="1" s="45">
      <c r="A46" s="52" t="n">
        <v>29</v>
      </c>
      <c r="B46" s="80">
        <f>1-MIN(8760,SUMPRODUCT(Lifecycle_50yr!$B$4:$B$10,Lifecycle_50yr!$F$4:$F$10,--(MOD($A46,Lifecycle_50yr!$C$4:$C$10)=0))+SUMPRODUCT(Lifecycle_50yr!$B$4:$B$10,Lifecycle_50yr!$E$4:$E$10,--(MOD($A46,Lifecycle_50yr!$M$4:$M$10)=0))+SUMPRODUCT(Lifecycle_50yr!$B$4:$B$10,Lifecycle_50yr!$P$4:$P$10))/8760</f>
        <v/>
      </c>
      <c r="C46" s="82">
        <f>IF($A46=1,$H$6,0)</f>
        <v/>
      </c>
      <c r="D46" s="82">
        <f>SUMPRODUCT(Lifecycle_50yr!$B$4:$B$10,Lifecycle_50yr!$G$4:$G$10,--(MOD($A46,Lifecycle_50yr!$C$4:$C$10)=0))</f>
        <v/>
      </c>
      <c r="E46" s="82">
        <f>SUMPRODUCT(Lifecycle_50yr!$B$4:$B$10,Lifecycle_50yr!$H$4:$H$10,--(MOD($A46,Lifecycle_50yr!$M$4:$M$10)=0))</f>
        <v/>
      </c>
      <c r="F46" s="82">
        <f>Blend_Properties!$B$3*(1-$E$4)*Global_Assumptions!$B$16/$E$7*B46</f>
        <v/>
      </c>
      <c r="G46" s="82">
        <f>$E$3*Global_Assumptions!$B$13/$E$7*B46</f>
        <v/>
      </c>
      <c r="H46" s="82">
        <f>$B$15*B46</f>
        <v/>
      </c>
      <c r="I46" s="82">
        <f>($B$11+$B$14)*B46+$B$12+$B$13</f>
        <v/>
      </c>
      <c r="J46" s="82">
        <f>$E$3*Global_Assumptions!$B$66*B46</f>
        <v/>
      </c>
      <c r="K46" s="82">
        <f>($E$5*Global_Assumptions!$B$20+$E$3*Global_Assumptions!$B$68*(--($A46&lt;=Global_Assumptions!$B$86)))*B46</f>
        <v/>
      </c>
      <c r="L46" s="82">
        <f>J46+K46-(C46+D46+E46+F46+G46+H46+I46)</f>
        <v/>
      </c>
      <c r="M46" s="82">
        <f>L46/(1+Global_Assumptions!$B$7)^$A46</f>
        <v/>
      </c>
    </row>
    <row r="47" ht="15" customHeight="1" s="45">
      <c r="A47" s="52" t="n">
        <v>30</v>
      </c>
      <c r="B47" s="80">
        <f>1-MIN(8760,SUMPRODUCT(Lifecycle_50yr!$B$4:$B$10,Lifecycle_50yr!$F$4:$F$10,--(MOD($A47,Lifecycle_50yr!$C$4:$C$10)=0))+SUMPRODUCT(Lifecycle_50yr!$B$4:$B$10,Lifecycle_50yr!$E$4:$E$10,--(MOD($A47,Lifecycle_50yr!$M$4:$M$10)=0))+SUMPRODUCT(Lifecycle_50yr!$B$4:$B$10,Lifecycle_50yr!$P$4:$P$10))/8760</f>
        <v/>
      </c>
      <c r="C47" s="82">
        <f>IF($A47=1,$H$6,0)</f>
        <v/>
      </c>
      <c r="D47" s="82">
        <f>SUMPRODUCT(Lifecycle_50yr!$B$4:$B$10,Lifecycle_50yr!$G$4:$G$10,--(MOD($A47,Lifecycle_50yr!$C$4:$C$10)=0))</f>
        <v/>
      </c>
      <c r="E47" s="82">
        <f>SUMPRODUCT(Lifecycle_50yr!$B$4:$B$10,Lifecycle_50yr!$H$4:$H$10,--(MOD($A47,Lifecycle_50yr!$M$4:$M$10)=0))</f>
        <v/>
      </c>
      <c r="F47" s="82">
        <f>Blend_Properties!$B$3*(1-$E$4)*Global_Assumptions!$B$16/$E$7*B47</f>
        <v/>
      </c>
      <c r="G47" s="82">
        <f>$E$3*Global_Assumptions!$B$13/$E$7*B47</f>
        <v/>
      </c>
      <c r="H47" s="82">
        <f>$B$15*B47</f>
        <v/>
      </c>
      <c r="I47" s="82">
        <f>($B$11+$B$14)*B47+$B$12+$B$13</f>
        <v/>
      </c>
      <c r="J47" s="82">
        <f>$E$3*Global_Assumptions!$B$66*B47</f>
        <v/>
      </c>
      <c r="K47" s="82">
        <f>($E$5*Global_Assumptions!$B$20+$E$3*Global_Assumptions!$B$68*(--($A47&lt;=Global_Assumptions!$B$86)))*B47</f>
        <v/>
      </c>
      <c r="L47" s="82">
        <f>J47+K47-(C47+D47+E47+F47+G47+H47+I47)</f>
        <v/>
      </c>
      <c r="M47" s="82">
        <f>L47/(1+Global_Assumptions!$B$7)^$A47</f>
        <v/>
      </c>
    </row>
    <row r="48" ht="15" customHeight="1" s="45">
      <c r="A48" s="52" t="n">
        <v>31</v>
      </c>
      <c r="B48" s="80">
        <f>1-MIN(8760,SUMPRODUCT(Lifecycle_50yr!$B$4:$B$10,Lifecycle_50yr!$F$4:$F$10,--(MOD($A48,Lifecycle_50yr!$C$4:$C$10)=0))+SUMPRODUCT(Lifecycle_50yr!$B$4:$B$10,Lifecycle_50yr!$E$4:$E$10,--(MOD($A48,Lifecycle_50yr!$M$4:$M$10)=0))+SUMPRODUCT(Lifecycle_50yr!$B$4:$B$10,Lifecycle_50yr!$P$4:$P$10))/8760</f>
        <v/>
      </c>
      <c r="C48" s="82">
        <f>IF($A48=1,$H$6,0)</f>
        <v/>
      </c>
      <c r="D48" s="82">
        <f>SUMPRODUCT(Lifecycle_50yr!$B$4:$B$10,Lifecycle_50yr!$G$4:$G$10,--(MOD($A48,Lifecycle_50yr!$C$4:$C$10)=0))</f>
        <v/>
      </c>
      <c r="E48" s="82">
        <f>SUMPRODUCT(Lifecycle_50yr!$B$4:$B$10,Lifecycle_50yr!$H$4:$H$10,--(MOD($A48,Lifecycle_50yr!$M$4:$M$10)=0))</f>
        <v/>
      </c>
      <c r="F48" s="82">
        <f>Blend_Properties!$B$3*(1-$E$4)*Global_Assumptions!$B$16/$E$7*B48</f>
        <v/>
      </c>
      <c r="G48" s="82">
        <f>$E$3*Global_Assumptions!$B$13/$E$7*B48</f>
        <v/>
      </c>
      <c r="H48" s="82">
        <f>$B$15*B48</f>
        <v/>
      </c>
      <c r="I48" s="82">
        <f>($B$11+$B$14)*B48+$B$12+$B$13</f>
        <v/>
      </c>
      <c r="J48" s="82">
        <f>$E$3*Global_Assumptions!$B$66*B48</f>
        <v/>
      </c>
      <c r="K48" s="82">
        <f>($E$5*Global_Assumptions!$B$20+$E$3*Global_Assumptions!$B$68*(--($A48&lt;=Global_Assumptions!$B$86)))*B48</f>
        <v/>
      </c>
      <c r="L48" s="82">
        <f>J48+K48-(C48+D48+E48+F48+G48+H48+I48)</f>
        <v/>
      </c>
      <c r="M48" s="82">
        <f>L48/(1+Global_Assumptions!$B$7)^$A48</f>
        <v/>
      </c>
    </row>
    <row r="49" ht="15" customHeight="1" s="45">
      <c r="A49" s="52" t="n">
        <v>32</v>
      </c>
      <c r="B49" s="80">
        <f>1-MIN(8760,SUMPRODUCT(Lifecycle_50yr!$B$4:$B$10,Lifecycle_50yr!$F$4:$F$10,--(MOD($A49,Lifecycle_50yr!$C$4:$C$10)=0))+SUMPRODUCT(Lifecycle_50yr!$B$4:$B$10,Lifecycle_50yr!$E$4:$E$10,--(MOD($A49,Lifecycle_50yr!$M$4:$M$10)=0))+SUMPRODUCT(Lifecycle_50yr!$B$4:$B$10,Lifecycle_50yr!$P$4:$P$10))/8760</f>
        <v/>
      </c>
      <c r="C49" s="82">
        <f>IF($A49=1,$H$6,0)</f>
        <v/>
      </c>
      <c r="D49" s="82">
        <f>SUMPRODUCT(Lifecycle_50yr!$B$4:$B$10,Lifecycle_50yr!$G$4:$G$10,--(MOD($A49,Lifecycle_50yr!$C$4:$C$10)=0))</f>
        <v/>
      </c>
      <c r="E49" s="82">
        <f>SUMPRODUCT(Lifecycle_50yr!$B$4:$B$10,Lifecycle_50yr!$H$4:$H$10,--(MOD($A49,Lifecycle_50yr!$M$4:$M$10)=0))</f>
        <v/>
      </c>
      <c r="F49" s="82">
        <f>Blend_Properties!$B$3*(1-$E$4)*Global_Assumptions!$B$16/$E$7*B49</f>
        <v/>
      </c>
      <c r="G49" s="82">
        <f>$E$3*Global_Assumptions!$B$13/$E$7*B49</f>
        <v/>
      </c>
      <c r="H49" s="82">
        <f>$B$15*B49</f>
        <v/>
      </c>
      <c r="I49" s="82">
        <f>($B$11+$B$14)*B49+$B$12+$B$13</f>
        <v/>
      </c>
      <c r="J49" s="82">
        <f>$E$3*Global_Assumptions!$B$66*B49</f>
        <v/>
      </c>
      <c r="K49" s="82">
        <f>($E$5*Global_Assumptions!$B$20+$E$3*Global_Assumptions!$B$68*(--($A49&lt;=Global_Assumptions!$B$86)))*B49</f>
        <v/>
      </c>
      <c r="L49" s="82">
        <f>J49+K49-(C49+D49+E49+F49+G49+H49+I49)</f>
        <v/>
      </c>
      <c r="M49" s="82">
        <f>L49/(1+Global_Assumptions!$B$7)^$A49</f>
        <v/>
      </c>
    </row>
    <row r="50" ht="15" customHeight="1" s="45">
      <c r="A50" s="52" t="n">
        <v>33</v>
      </c>
      <c r="B50" s="80">
        <f>1-MIN(8760,SUMPRODUCT(Lifecycle_50yr!$B$4:$B$10,Lifecycle_50yr!$F$4:$F$10,--(MOD($A50,Lifecycle_50yr!$C$4:$C$10)=0))+SUMPRODUCT(Lifecycle_50yr!$B$4:$B$10,Lifecycle_50yr!$E$4:$E$10,--(MOD($A50,Lifecycle_50yr!$M$4:$M$10)=0))+SUMPRODUCT(Lifecycle_50yr!$B$4:$B$10,Lifecycle_50yr!$P$4:$P$10))/8760</f>
        <v/>
      </c>
      <c r="C50" s="82">
        <f>IF($A50=1,$H$6,0)</f>
        <v/>
      </c>
      <c r="D50" s="82">
        <f>SUMPRODUCT(Lifecycle_50yr!$B$4:$B$10,Lifecycle_50yr!$G$4:$G$10,--(MOD($A50,Lifecycle_50yr!$C$4:$C$10)=0))</f>
        <v/>
      </c>
      <c r="E50" s="82">
        <f>SUMPRODUCT(Lifecycle_50yr!$B$4:$B$10,Lifecycle_50yr!$H$4:$H$10,--(MOD($A50,Lifecycle_50yr!$M$4:$M$10)=0))</f>
        <v/>
      </c>
      <c r="F50" s="82">
        <f>Blend_Properties!$B$3*(1-$E$4)*Global_Assumptions!$B$16/$E$7*B50</f>
        <v/>
      </c>
      <c r="G50" s="82">
        <f>$E$3*Global_Assumptions!$B$13/$E$7*B50</f>
        <v/>
      </c>
      <c r="H50" s="82">
        <f>$B$15*B50</f>
        <v/>
      </c>
      <c r="I50" s="82">
        <f>($B$11+$B$14)*B50+$B$12+$B$13</f>
        <v/>
      </c>
      <c r="J50" s="82">
        <f>$E$3*Global_Assumptions!$B$66*B50</f>
        <v/>
      </c>
      <c r="K50" s="82">
        <f>($E$5*Global_Assumptions!$B$20+$E$3*Global_Assumptions!$B$68*(--($A50&lt;=Global_Assumptions!$B$86)))*B50</f>
        <v/>
      </c>
      <c r="L50" s="82">
        <f>J50+K50-(C50+D50+E50+F50+G50+H50+I50)</f>
        <v/>
      </c>
      <c r="M50" s="82">
        <f>L50/(1+Global_Assumptions!$B$7)^$A50</f>
        <v/>
      </c>
    </row>
    <row r="51" ht="15" customHeight="1" s="45">
      <c r="A51" s="52" t="n">
        <v>34</v>
      </c>
      <c r="B51" s="80">
        <f>1-MIN(8760,SUMPRODUCT(Lifecycle_50yr!$B$4:$B$10,Lifecycle_50yr!$F$4:$F$10,--(MOD($A51,Lifecycle_50yr!$C$4:$C$10)=0))+SUMPRODUCT(Lifecycle_50yr!$B$4:$B$10,Lifecycle_50yr!$E$4:$E$10,--(MOD($A51,Lifecycle_50yr!$M$4:$M$10)=0))+SUMPRODUCT(Lifecycle_50yr!$B$4:$B$10,Lifecycle_50yr!$P$4:$P$10))/8760</f>
        <v/>
      </c>
      <c r="C51" s="82">
        <f>IF($A51=1,$H$6,0)</f>
        <v/>
      </c>
      <c r="D51" s="82">
        <f>SUMPRODUCT(Lifecycle_50yr!$B$4:$B$10,Lifecycle_50yr!$G$4:$G$10,--(MOD($A51,Lifecycle_50yr!$C$4:$C$10)=0))</f>
        <v/>
      </c>
      <c r="E51" s="82">
        <f>SUMPRODUCT(Lifecycle_50yr!$B$4:$B$10,Lifecycle_50yr!$H$4:$H$10,--(MOD($A51,Lifecycle_50yr!$M$4:$M$10)=0))</f>
        <v/>
      </c>
      <c r="F51" s="82">
        <f>Blend_Properties!$B$3*(1-$E$4)*Global_Assumptions!$B$16/$E$7*B51</f>
        <v/>
      </c>
      <c r="G51" s="82">
        <f>$E$3*Global_Assumptions!$B$13/$E$7*B51</f>
        <v/>
      </c>
      <c r="H51" s="82">
        <f>$B$15*B51</f>
        <v/>
      </c>
      <c r="I51" s="82">
        <f>($B$11+$B$14)*B51+$B$12+$B$13</f>
        <v/>
      </c>
      <c r="J51" s="82">
        <f>$E$3*Global_Assumptions!$B$66*B51</f>
        <v/>
      </c>
      <c r="K51" s="82">
        <f>($E$5*Global_Assumptions!$B$20+$E$3*Global_Assumptions!$B$68*(--($A51&lt;=Global_Assumptions!$B$86)))*B51</f>
        <v/>
      </c>
      <c r="L51" s="82">
        <f>J51+K51-(C51+D51+E51+F51+G51+H51+I51)</f>
        <v/>
      </c>
      <c r="M51" s="82">
        <f>L51/(1+Global_Assumptions!$B$7)^$A51</f>
        <v/>
      </c>
    </row>
    <row r="52" ht="15" customHeight="1" s="45">
      <c r="A52" s="52" t="n">
        <v>35</v>
      </c>
      <c r="B52" s="80">
        <f>1-MIN(8760,SUMPRODUCT(Lifecycle_50yr!$B$4:$B$10,Lifecycle_50yr!$F$4:$F$10,--(MOD($A52,Lifecycle_50yr!$C$4:$C$10)=0))+SUMPRODUCT(Lifecycle_50yr!$B$4:$B$10,Lifecycle_50yr!$E$4:$E$10,--(MOD($A52,Lifecycle_50yr!$M$4:$M$10)=0))+SUMPRODUCT(Lifecycle_50yr!$B$4:$B$10,Lifecycle_50yr!$P$4:$P$10))/8760</f>
        <v/>
      </c>
      <c r="C52" s="82">
        <f>IF($A52=1,$H$6,0)</f>
        <v/>
      </c>
      <c r="D52" s="82">
        <f>SUMPRODUCT(Lifecycle_50yr!$B$4:$B$10,Lifecycle_50yr!$G$4:$G$10,--(MOD($A52,Lifecycle_50yr!$C$4:$C$10)=0))</f>
        <v/>
      </c>
      <c r="E52" s="82">
        <f>SUMPRODUCT(Lifecycle_50yr!$B$4:$B$10,Lifecycle_50yr!$H$4:$H$10,--(MOD($A52,Lifecycle_50yr!$M$4:$M$10)=0))</f>
        <v/>
      </c>
      <c r="F52" s="82">
        <f>Blend_Properties!$B$3*(1-$E$4)*Global_Assumptions!$B$16/$E$7*B52</f>
        <v/>
      </c>
      <c r="G52" s="82">
        <f>$E$3*Global_Assumptions!$B$13/$E$7*B52</f>
        <v/>
      </c>
      <c r="H52" s="82">
        <f>$B$15*B52</f>
        <v/>
      </c>
      <c r="I52" s="82">
        <f>($B$11+$B$14)*B52+$B$12+$B$13</f>
        <v/>
      </c>
      <c r="J52" s="82">
        <f>$E$3*Global_Assumptions!$B$66*B52</f>
        <v/>
      </c>
      <c r="K52" s="82">
        <f>($E$5*Global_Assumptions!$B$20+$E$3*Global_Assumptions!$B$68*(--($A52&lt;=Global_Assumptions!$B$86)))*B52</f>
        <v/>
      </c>
      <c r="L52" s="82">
        <f>J52+K52-(C52+D52+E52+F52+G52+H52+I52)</f>
        <v/>
      </c>
      <c r="M52" s="82">
        <f>L52/(1+Global_Assumptions!$B$7)^$A52</f>
        <v/>
      </c>
    </row>
    <row r="53" ht="15" customHeight="1" s="45">
      <c r="A53" s="52" t="n">
        <v>36</v>
      </c>
      <c r="B53" s="80">
        <f>1-MIN(8760,SUMPRODUCT(Lifecycle_50yr!$B$4:$B$10,Lifecycle_50yr!$F$4:$F$10,--(MOD($A53,Lifecycle_50yr!$C$4:$C$10)=0))+SUMPRODUCT(Lifecycle_50yr!$B$4:$B$10,Lifecycle_50yr!$E$4:$E$10,--(MOD($A53,Lifecycle_50yr!$M$4:$M$10)=0))+SUMPRODUCT(Lifecycle_50yr!$B$4:$B$10,Lifecycle_50yr!$P$4:$P$10))/8760</f>
        <v/>
      </c>
      <c r="C53" s="82">
        <f>IF($A53=1,$H$6,0)</f>
        <v/>
      </c>
      <c r="D53" s="82">
        <f>SUMPRODUCT(Lifecycle_50yr!$B$4:$B$10,Lifecycle_50yr!$G$4:$G$10,--(MOD($A53,Lifecycle_50yr!$C$4:$C$10)=0))</f>
        <v/>
      </c>
      <c r="E53" s="82">
        <f>SUMPRODUCT(Lifecycle_50yr!$B$4:$B$10,Lifecycle_50yr!$H$4:$H$10,--(MOD($A53,Lifecycle_50yr!$M$4:$M$10)=0))</f>
        <v/>
      </c>
      <c r="F53" s="82">
        <f>Blend_Properties!$B$3*(1-$E$4)*Global_Assumptions!$B$16/$E$7*B53</f>
        <v/>
      </c>
      <c r="G53" s="82">
        <f>$E$3*Global_Assumptions!$B$13/$E$7*B53</f>
        <v/>
      </c>
      <c r="H53" s="82">
        <f>$B$15*B53</f>
        <v/>
      </c>
      <c r="I53" s="82">
        <f>($B$11+$B$14)*B53+$B$12+$B$13</f>
        <v/>
      </c>
      <c r="J53" s="82">
        <f>$E$3*Global_Assumptions!$B$66*B53</f>
        <v/>
      </c>
      <c r="K53" s="82">
        <f>($E$5*Global_Assumptions!$B$20+$E$3*Global_Assumptions!$B$68*(--($A53&lt;=Global_Assumptions!$B$86)))*B53</f>
        <v/>
      </c>
      <c r="L53" s="82">
        <f>J53+K53-(C53+D53+E53+F53+G53+H53+I53)</f>
        <v/>
      </c>
      <c r="M53" s="82">
        <f>L53/(1+Global_Assumptions!$B$7)^$A53</f>
        <v/>
      </c>
    </row>
    <row r="54" ht="15" customHeight="1" s="45">
      <c r="A54" s="52" t="n">
        <v>37</v>
      </c>
      <c r="B54" s="80">
        <f>1-MIN(8760,SUMPRODUCT(Lifecycle_50yr!$B$4:$B$10,Lifecycle_50yr!$F$4:$F$10,--(MOD($A54,Lifecycle_50yr!$C$4:$C$10)=0))+SUMPRODUCT(Lifecycle_50yr!$B$4:$B$10,Lifecycle_50yr!$E$4:$E$10,--(MOD($A54,Lifecycle_50yr!$M$4:$M$10)=0))+SUMPRODUCT(Lifecycle_50yr!$B$4:$B$10,Lifecycle_50yr!$P$4:$P$10))/8760</f>
        <v/>
      </c>
      <c r="C54" s="82">
        <f>IF($A54=1,$H$6,0)</f>
        <v/>
      </c>
      <c r="D54" s="82">
        <f>SUMPRODUCT(Lifecycle_50yr!$B$4:$B$10,Lifecycle_50yr!$G$4:$G$10,--(MOD($A54,Lifecycle_50yr!$C$4:$C$10)=0))</f>
        <v/>
      </c>
      <c r="E54" s="82">
        <f>SUMPRODUCT(Lifecycle_50yr!$B$4:$B$10,Lifecycle_50yr!$H$4:$H$10,--(MOD($A54,Lifecycle_50yr!$M$4:$M$10)=0))</f>
        <v/>
      </c>
      <c r="F54" s="82">
        <f>Blend_Properties!$B$3*(1-$E$4)*Global_Assumptions!$B$16/$E$7*B54</f>
        <v/>
      </c>
      <c r="G54" s="82">
        <f>$E$3*Global_Assumptions!$B$13/$E$7*B54</f>
        <v/>
      </c>
      <c r="H54" s="82">
        <f>$B$15*B54</f>
        <v/>
      </c>
      <c r="I54" s="82">
        <f>($B$11+$B$14)*B54+$B$12+$B$13</f>
        <v/>
      </c>
      <c r="J54" s="82">
        <f>$E$3*Global_Assumptions!$B$66*B54</f>
        <v/>
      </c>
      <c r="K54" s="82">
        <f>($E$5*Global_Assumptions!$B$20+$E$3*Global_Assumptions!$B$68*(--($A54&lt;=Global_Assumptions!$B$86)))*B54</f>
        <v/>
      </c>
      <c r="L54" s="82">
        <f>J54+K54-(C54+D54+E54+F54+G54+H54+I54)</f>
        <v/>
      </c>
      <c r="M54" s="82">
        <f>L54/(1+Global_Assumptions!$B$7)^$A54</f>
        <v/>
      </c>
    </row>
    <row r="55" ht="15" customHeight="1" s="45">
      <c r="A55" s="52" t="n">
        <v>38</v>
      </c>
      <c r="B55" s="80">
        <f>1-MIN(8760,SUMPRODUCT(Lifecycle_50yr!$B$4:$B$10,Lifecycle_50yr!$F$4:$F$10,--(MOD($A55,Lifecycle_50yr!$C$4:$C$10)=0))+SUMPRODUCT(Lifecycle_50yr!$B$4:$B$10,Lifecycle_50yr!$E$4:$E$10,--(MOD($A55,Lifecycle_50yr!$M$4:$M$10)=0))+SUMPRODUCT(Lifecycle_50yr!$B$4:$B$10,Lifecycle_50yr!$P$4:$P$10))/8760</f>
        <v/>
      </c>
      <c r="C55" s="82">
        <f>IF($A55=1,$H$6,0)</f>
        <v/>
      </c>
      <c r="D55" s="82">
        <f>SUMPRODUCT(Lifecycle_50yr!$B$4:$B$10,Lifecycle_50yr!$G$4:$G$10,--(MOD($A55,Lifecycle_50yr!$C$4:$C$10)=0))</f>
        <v/>
      </c>
      <c r="E55" s="82">
        <f>SUMPRODUCT(Lifecycle_50yr!$B$4:$B$10,Lifecycle_50yr!$H$4:$H$10,--(MOD($A55,Lifecycle_50yr!$M$4:$M$10)=0))</f>
        <v/>
      </c>
      <c r="F55" s="82">
        <f>Blend_Properties!$B$3*(1-$E$4)*Global_Assumptions!$B$16/$E$7*B55</f>
        <v/>
      </c>
      <c r="G55" s="82">
        <f>$E$3*Global_Assumptions!$B$13/$E$7*B55</f>
        <v/>
      </c>
      <c r="H55" s="82">
        <f>$B$15*B55</f>
        <v/>
      </c>
      <c r="I55" s="82">
        <f>($B$11+$B$14)*B55+$B$12+$B$13</f>
        <v/>
      </c>
      <c r="J55" s="82">
        <f>$E$3*Global_Assumptions!$B$66*B55</f>
        <v/>
      </c>
      <c r="K55" s="82">
        <f>($E$5*Global_Assumptions!$B$20+$E$3*Global_Assumptions!$B$68*(--($A55&lt;=Global_Assumptions!$B$86)))*B55</f>
        <v/>
      </c>
      <c r="L55" s="82">
        <f>J55+K55-(C55+D55+E55+F55+G55+H55+I55)</f>
        <v/>
      </c>
      <c r="M55" s="82">
        <f>L55/(1+Global_Assumptions!$B$7)^$A55</f>
        <v/>
      </c>
    </row>
    <row r="56" ht="15" customHeight="1" s="45">
      <c r="A56" s="52" t="n">
        <v>39</v>
      </c>
      <c r="B56" s="80">
        <f>1-MIN(8760,SUMPRODUCT(Lifecycle_50yr!$B$4:$B$10,Lifecycle_50yr!$F$4:$F$10,--(MOD($A56,Lifecycle_50yr!$C$4:$C$10)=0))+SUMPRODUCT(Lifecycle_50yr!$B$4:$B$10,Lifecycle_50yr!$E$4:$E$10,--(MOD($A56,Lifecycle_50yr!$M$4:$M$10)=0))+SUMPRODUCT(Lifecycle_50yr!$B$4:$B$10,Lifecycle_50yr!$P$4:$P$10))/8760</f>
        <v/>
      </c>
      <c r="C56" s="82">
        <f>IF($A56=1,$H$6,0)</f>
        <v/>
      </c>
      <c r="D56" s="82">
        <f>SUMPRODUCT(Lifecycle_50yr!$B$4:$B$10,Lifecycle_50yr!$G$4:$G$10,--(MOD($A56,Lifecycle_50yr!$C$4:$C$10)=0))</f>
        <v/>
      </c>
      <c r="E56" s="82">
        <f>SUMPRODUCT(Lifecycle_50yr!$B$4:$B$10,Lifecycle_50yr!$H$4:$H$10,--(MOD($A56,Lifecycle_50yr!$M$4:$M$10)=0))</f>
        <v/>
      </c>
      <c r="F56" s="82">
        <f>Blend_Properties!$B$3*(1-$E$4)*Global_Assumptions!$B$16/$E$7*B56</f>
        <v/>
      </c>
      <c r="G56" s="82">
        <f>$E$3*Global_Assumptions!$B$13/$E$7*B56</f>
        <v/>
      </c>
      <c r="H56" s="82">
        <f>$B$15*B56</f>
        <v/>
      </c>
      <c r="I56" s="82">
        <f>($B$11+$B$14)*B56+$B$12+$B$13</f>
        <v/>
      </c>
      <c r="J56" s="82">
        <f>$E$3*Global_Assumptions!$B$66*B56</f>
        <v/>
      </c>
      <c r="K56" s="82">
        <f>($E$5*Global_Assumptions!$B$20+$E$3*Global_Assumptions!$B$68*(--($A56&lt;=Global_Assumptions!$B$86)))*B56</f>
        <v/>
      </c>
      <c r="L56" s="82">
        <f>J56+K56-(C56+D56+E56+F56+G56+H56+I56)</f>
        <v/>
      </c>
      <c r="M56" s="82">
        <f>L56/(1+Global_Assumptions!$B$7)^$A56</f>
        <v/>
      </c>
    </row>
    <row r="57" ht="15" customHeight="1" s="45">
      <c r="A57" s="52" t="n">
        <v>40</v>
      </c>
      <c r="B57" s="80">
        <f>1-MIN(8760,SUMPRODUCT(Lifecycle_50yr!$B$4:$B$10,Lifecycle_50yr!$F$4:$F$10,--(MOD($A57,Lifecycle_50yr!$C$4:$C$10)=0))+SUMPRODUCT(Lifecycle_50yr!$B$4:$B$10,Lifecycle_50yr!$E$4:$E$10,--(MOD($A57,Lifecycle_50yr!$M$4:$M$10)=0))+SUMPRODUCT(Lifecycle_50yr!$B$4:$B$10,Lifecycle_50yr!$P$4:$P$10))/8760</f>
        <v/>
      </c>
      <c r="C57" s="82">
        <f>IF($A57=1,$H$6,0)</f>
        <v/>
      </c>
      <c r="D57" s="82">
        <f>SUMPRODUCT(Lifecycle_50yr!$B$4:$B$10,Lifecycle_50yr!$G$4:$G$10,--(MOD($A57,Lifecycle_50yr!$C$4:$C$10)=0))</f>
        <v/>
      </c>
      <c r="E57" s="82">
        <f>SUMPRODUCT(Lifecycle_50yr!$B$4:$B$10,Lifecycle_50yr!$H$4:$H$10,--(MOD($A57,Lifecycle_50yr!$M$4:$M$10)=0))</f>
        <v/>
      </c>
      <c r="F57" s="82">
        <f>Blend_Properties!$B$3*(1-$E$4)*Global_Assumptions!$B$16/$E$7*B57</f>
        <v/>
      </c>
      <c r="G57" s="82">
        <f>$E$3*Global_Assumptions!$B$13/$E$7*B57</f>
        <v/>
      </c>
      <c r="H57" s="82">
        <f>$B$15*B57</f>
        <v/>
      </c>
      <c r="I57" s="82">
        <f>($B$11+$B$14)*B57+$B$12+$B$13</f>
        <v/>
      </c>
      <c r="J57" s="82">
        <f>$E$3*Global_Assumptions!$B$66*B57</f>
        <v/>
      </c>
      <c r="K57" s="82">
        <f>($E$5*Global_Assumptions!$B$20+$E$3*Global_Assumptions!$B$68*(--($A57&lt;=Global_Assumptions!$B$86)))*B57</f>
        <v/>
      </c>
      <c r="L57" s="82">
        <f>J57+K57-(C57+D57+E57+F57+G57+H57+I57)</f>
        <v/>
      </c>
      <c r="M57" s="82">
        <f>L57/(1+Global_Assumptions!$B$7)^$A57</f>
        <v/>
      </c>
    </row>
    <row r="58" ht="15" customHeight="1" s="45">
      <c r="A58" s="52" t="n">
        <v>41</v>
      </c>
      <c r="B58" s="80">
        <f>1-MIN(8760,SUMPRODUCT(Lifecycle_50yr!$B$4:$B$10,Lifecycle_50yr!$F$4:$F$10,--(MOD($A58,Lifecycle_50yr!$C$4:$C$10)=0))+SUMPRODUCT(Lifecycle_50yr!$B$4:$B$10,Lifecycle_50yr!$E$4:$E$10,--(MOD($A58,Lifecycle_50yr!$M$4:$M$10)=0))+SUMPRODUCT(Lifecycle_50yr!$B$4:$B$10,Lifecycle_50yr!$P$4:$P$10))/8760</f>
        <v/>
      </c>
      <c r="C58" s="82">
        <f>IF($A58=1,$H$6,0)</f>
        <v/>
      </c>
      <c r="D58" s="82">
        <f>SUMPRODUCT(Lifecycle_50yr!$B$4:$B$10,Lifecycle_50yr!$G$4:$G$10,--(MOD($A58,Lifecycle_50yr!$C$4:$C$10)=0))</f>
        <v/>
      </c>
      <c r="E58" s="82">
        <f>SUMPRODUCT(Lifecycle_50yr!$B$4:$B$10,Lifecycle_50yr!$H$4:$H$10,--(MOD($A58,Lifecycle_50yr!$M$4:$M$10)=0))</f>
        <v/>
      </c>
      <c r="F58" s="82">
        <f>Blend_Properties!$B$3*(1-$E$4)*Global_Assumptions!$B$16/$E$7*B58</f>
        <v/>
      </c>
      <c r="G58" s="82">
        <f>$E$3*Global_Assumptions!$B$13/$E$7*B58</f>
        <v/>
      </c>
      <c r="H58" s="82">
        <f>$B$15*B58</f>
        <v/>
      </c>
      <c r="I58" s="82">
        <f>($B$11+$B$14)*B58+$B$12+$B$13</f>
        <v/>
      </c>
      <c r="J58" s="82">
        <f>$E$3*Global_Assumptions!$B$66*B58</f>
        <v/>
      </c>
      <c r="K58" s="82">
        <f>($E$5*Global_Assumptions!$B$20+$E$3*Global_Assumptions!$B$68*(--($A58&lt;=Global_Assumptions!$B$86)))*B58</f>
        <v/>
      </c>
      <c r="L58" s="82">
        <f>J58+K58-(C58+D58+E58+F58+G58+H58+I58)</f>
        <v/>
      </c>
      <c r="M58" s="82">
        <f>L58/(1+Global_Assumptions!$B$7)^$A58</f>
        <v/>
      </c>
    </row>
    <row r="59" ht="15" customHeight="1" s="45">
      <c r="A59" s="52" t="n">
        <v>42</v>
      </c>
      <c r="B59" s="80">
        <f>1-MIN(8760,SUMPRODUCT(Lifecycle_50yr!$B$4:$B$10,Lifecycle_50yr!$F$4:$F$10,--(MOD($A59,Lifecycle_50yr!$C$4:$C$10)=0))+SUMPRODUCT(Lifecycle_50yr!$B$4:$B$10,Lifecycle_50yr!$E$4:$E$10,--(MOD($A59,Lifecycle_50yr!$M$4:$M$10)=0))+SUMPRODUCT(Lifecycle_50yr!$B$4:$B$10,Lifecycle_50yr!$P$4:$P$10))/8760</f>
        <v/>
      </c>
      <c r="C59" s="82">
        <f>IF($A59=1,$H$6,0)</f>
        <v/>
      </c>
      <c r="D59" s="82">
        <f>SUMPRODUCT(Lifecycle_50yr!$B$4:$B$10,Lifecycle_50yr!$G$4:$G$10,--(MOD($A59,Lifecycle_50yr!$C$4:$C$10)=0))</f>
        <v/>
      </c>
      <c r="E59" s="82">
        <f>SUMPRODUCT(Lifecycle_50yr!$B$4:$B$10,Lifecycle_50yr!$H$4:$H$10,--(MOD($A59,Lifecycle_50yr!$M$4:$M$10)=0))</f>
        <v/>
      </c>
      <c r="F59" s="82">
        <f>Blend_Properties!$B$3*(1-$E$4)*Global_Assumptions!$B$16/$E$7*B59</f>
        <v/>
      </c>
      <c r="G59" s="82">
        <f>$E$3*Global_Assumptions!$B$13/$E$7*B59</f>
        <v/>
      </c>
      <c r="H59" s="82">
        <f>$B$15*B59</f>
        <v/>
      </c>
      <c r="I59" s="82">
        <f>($B$11+$B$14)*B59+$B$12+$B$13</f>
        <v/>
      </c>
      <c r="J59" s="82">
        <f>$E$3*Global_Assumptions!$B$66*B59</f>
        <v/>
      </c>
      <c r="K59" s="82">
        <f>($E$5*Global_Assumptions!$B$20+$E$3*Global_Assumptions!$B$68*(--($A59&lt;=Global_Assumptions!$B$86)))*B59</f>
        <v/>
      </c>
      <c r="L59" s="82">
        <f>J59+K59-(C59+D59+E59+F59+G59+H59+I59)</f>
        <v/>
      </c>
      <c r="M59" s="82">
        <f>L59/(1+Global_Assumptions!$B$7)^$A59</f>
        <v/>
      </c>
    </row>
    <row r="60" ht="15" customHeight="1" s="45">
      <c r="A60" s="52" t="n">
        <v>43</v>
      </c>
      <c r="B60" s="80">
        <f>1-MIN(8760,SUMPRODUCT(Lifecycle_50yr!$B$4:$B$10,Lifecycle_50yr!$F$4:$F$10,--(MOD($A60,Lifecycle_50yr!$C$4:$C$10)=0))+SUMPRODUCT(Lifecycle_50yr!$B$4:$B$10,Lifecycle_50yr!$E$4:$E$10,--(MOD($A60,Lifecycle_50yr!$M$4:$M$10)=0))+SUMPRODUCT(Lifecycle_50yr!$B$4:$B$10,Lifecycle_50yr!$P$4:$P$10))/8760</f>
        <v/>
      </c>
      <c r="C60" s="82">
        <f>IF($A60=1,$H$6,0)</f>
        <v/>
      </c>
      <c r="D60" s="82">
        <f>SUMPRODUCT(Lifecycle_50yr!$B$4:$B$10,Lifecycle_50yr!$G$4:$G$10,--(MOD($A60,Lifecycle_50yr!$C$4:$C$10)=0))</f>
        <v/>
      </c>
      <c r="E60" s="82">
        <f>SUMPRODUCT(Lifecycle_50yr!$B$4:$B$10,Lifecycle_50yr!$H$4:$H$10,--(MOD($A60,Lifecycle_50yr!$M$4:$M$10)=0))</f>
        <v/>
      </c>
      <c r="F60" s="82">
        <f>Blend_Properties!$B$3*(1-$E$4)*Global_Assumptions!$B$16/$E$7*B60</f>
        <v/>
      </c>
      <c r="G60" s="82">
        <f>$E$3*Global_Assumptions!$B$13/$E$7*B60</f>
        <v/>
      </c>
      <c r="H60" s="82">
        <f>$B$15*B60</f>
        <v/>
      </c>
      <c r="I60" s="82">
        <f>($B$11+$B$14)*B60+$B$12+$B$13</f>
        <v/>
      </c>
      <c r="J60" s="82">
        <f>$E$3*Global_Assumptions!$B$66*B60</f>
        <v/>
      </c>
      <c r="K60" s="82">
        <f>($E$5*Global_Assumptions!$B$20+$E$3*Global_Assumptions!$B$68*(--($A60&lt;=Global_Assumptions!$B$86)))*B60</f>
        <v/>
      </c>
      <c r="L60" s="82">
        <f>J60+K60-(C60+D60+E60+F60+G60+H60+I60)</f>
        <v/>
      </c>
      <c r="M60" s="82">
        <f>L60/(1+Global_Assumptions!$B$7)^$A60</f>
        <v/>
      </c>
    </row>
    <row r="61" ht="15" customHeight="1" s="45">
      <c r="A61" s="52" t="n">
        <v>44</v>
      </c>
      <c r="B61" s="80">
        <f>1-MIN(8760,SUMPRODUCT(Lifecycle_50yr!$B$4:$B$10,Lifecycle_50yr!$F$4:$F$10,--(MOD($A61,Lifecycle_50yr!$C$4:$C$10)=0))+SUMPRODUCT(Lifecycle_50yr!$B$4:$B$10,Lifecycle_50yr!$E$4:$E$10,--(MOD($A61,Lifecycle_50yr!$M$4:$M$10)=0))+SUMPRODUCT(Lifecycle_50yr!$B$4:$B$10,Lifecycle_50yr!$P$4:$P$10))/8760</f>
        <v/>
      </c>
      <c r="C61" s="82">
        <f>IF($A61=1,$H$6,0)</f>
        <v/>
      </c>
      <c r="D61" s="82">
        <f>SUMPRODUCT(Lifecycle_50yr!$B$4:$B$10,Lifecycle_50yr!$G$4:$G$10,--(MOD($A61,Lifecycle_50yr!$C$4:$C$10)=0))</f>
        <v/>
      </c>
      <c r="E61" s="82">
        <f>SUMPRODUCT(Lifecycle_50yr!$B$4:$B$10,Lifecycle_50yr!$H$4:$H$10,--(MOD($A61,Lifecycle_50yr!$M$4:$M$10)=0))</f>
        <v/>
      </c>
      <c r="F61" s="82">
        <f>Blend_Properties!$B$3*(1-$E$4)*Global_Assumptions!$B$16/$E$7*B61</f>
        <v/>
      </c>
      <c r="G61" s="82">
        <f>$E$3*Global_Assumptions!$B$13/$E$7*B61</f>
        <v/>
      </c>
      <c r="H61" s="82">
        <f>$B$15*B61</f>
        <v/>
      </c>
      <c r="I61" s="82">
        <f>($B$11+$B$14)*B61+$B$12+$B$13</f>
        <v/>
      </c>
      <c r="J61" s="82">
        <f>$E$3*Global_Assumptions!$B$66*B61</f>
        <v/>
      </c>
      <c r="K61" s="82">
        <f>($E$5*Global_Assumptions!$B$20+$E$3*Global_Assumptions!$B$68*(--($A61&lt;=Global_Assumptions!$B$86)))*B61</f>
        <v/>
      </c>
      <c r="L61" s="82">
        <f>J61+K61-(C61+D61+E61+F61+G61+H61+I61)</f>
        <v/>
      </c>
      <c r="M61" s="82">
        <f>L61/(1+Global_Assumptions!$B$7)^$A61</f>
        <v/>
      </c>
    </row>
    <row r="62" ht="15" customHeight="1" s="45">
      <c r="A62" s="52" t="n">
        <v>45</v>
      </c>
      <c r="B62" s="80">
        <f>1-MIN(8760,SUMPRODUCT(Lifecycle_50yr!$B$4:$B$10,Lifecycle_50yr!$F$4:$F$10,--(MOD($A62,Lifecycle_50yr!$C$4:$C$10)=0))+SUMPRODUCT(Lifecycle_50yr!$B$4:$B$10,Lifecycle_50yr!$E$4:$E$10,--(MOD($A62,Lifecycle_50yr!$M$4:$M$10)=0))+SUMPRODUCT(Lifecycle_50yr!$B$4:$B$10,Lifecycle_50yr!$P$4:$P$10))/8760</f>
        <v/>
      </c>
      <c r="C62" s="82">
        <f>IF($A62=1,$H$6,0)</f>
        <v/>
      </c>
      <c r="D62" s="82">
        <f>SUMPRODUCT(Lifecycle_50yr!$B$4:$B$10,Lifecycle_50yr!$G$4:$G$10,--(MOD($A62,Lifecycle_50yr!$C$4:$C$10)=0))</f>
        <v/>
      </c>
      <c r="E62" s="82">
        <f>SUMPRODUCT(Lifecycle_50yr!$B$4:$B$10,Lifecycle_50yr!$H$4:$H$10,--(MOD($A62,Lifecycle_50yr!$M$4:$M$10)=0))</f>
        <v/>
      </c>
      <c r="F62" s="82">
        <f>Blend_Properties!$B$3*(1-$E$4)*Global_Assumptions!$B$16/$E$7*B62</f>
        <v/>
      </c>
      <c r="G62" s="82">
        <f>$E$3*Global_Assumptions!$B$13/$E$7*B62</f>
        <v/>
      </c>
      <c r="H62" s="82">
        <f>$B$15*B62</f>
        <v/>
      </c>
      <c r="I62" s="82">
        <f>($B$11+$B$14)*B62+$B$12+$B$13</f>
        <v/>
      </c>
      <c r="J62" s="82">
        <f>$E$3*Global_Assumptions!$B$66*B62</f>
        <v/>
      </c>
      <c r="K62" s="82">
        <f>($E$5*Global_Assumptions!$B$20+$E$3*Global_Assumptions!$B$68*(--($A62&lt;=Global_Assumptions!$B$86)))*B62</f>
        <v/>
      </c>
      <c r="L62" s="82">
        <f>J62+K62-(C62+D62+E62+F62+G62+H62+I62)</f>
        <v/>
      </c>
      <c r="M62" s="82">
        <f>L62/(1+Global_Assumptions!$B$7)^$A62</f>
        <v/>
      </c>
    </row>
    <row r="63" ht="15" customHeight="1" s="45">
      <c r="A63" s="52" t="n">
        <v>46</v>
      </c>
      <c r="B63" s="80">
        <f>1-MIN(8760,SUMPRODUCT(Lifecycle_50yr!$B$4:$B$10,Lifecycle_50yr!$F$4:$F$10,--(MOD($A63,Lifecycle_50yr!$C$4:$C$10)=0))+SUMPRODUCT(Lifecycle_50yr!$B$4:$B$10,Lifecycle_50yr!$E$4:$E$10,--(MOD($A63,Lifecycle_50yr!$M$4:$M$10)=0))+SUMPRODUCT(Lifecycle_50yr!$B$4:$B$10,Lifecycle_50yr!$P$4:$P$10))/8760</f>
        <v/>
      </c>
      <c r="C63" s="82">
        <f>IF($A63=1,$H$6,0)</f>
        <v/>
      </c>
      <c r="D63" s="82">
        <f>SUMPRODUCT(Lifecycle_50yr!$B$4:$B$10,Lifecycle_50yr!$G$4:$G$10,--(MOD($A63,Lifecycle_50yr!$C$4:$C$10)=0))</f>
        <v/>
      </c>
      <c r="E63" s="82">
        <f>SUMPRODUCT(Lifecycle_50yr!$B$4:$B$10,Lifecycle_50yr!$H$4:$H$10,--(MOD($A63,Lifecycle_50yr!$M$4:$M$10)=0))</f>
        <v/>
      </c>
      <c r="F63" s="82">
        <f>Blend_Properties!$B$3*(1-$E$4)*Global_Assumptions!$B$16/$E$7*B63</f>
        <v/>
      </c>
      <c r="G63" s="82">
        <f>$E$3*Global_Assumptions!$B$13/$E$7*B63</f>
        <v/>
      </c>
      <c r="H63" s="82">
        <f>$B$15*B63</f>
        <v/>
      </c>
      <c r="I63" s="82">
        <f>($B$11+$B$14)*B63+$B$12+$B$13</f>
        <v/>
      </c>
      <c r="J63" s="82">
        <f>$E$3*Global_Assumptions!$B$66*B63</f>
        <v/>
      </c>
      <c r="K63" s="82">
        <f>($E$5*Global_Assumptions!$B$20+$E$3*Global_Assumptions!$B$68*(--($A63&lt;=Global_Assumptions!$B$86)))*B63</f>
        <v/>
      </c>
      <c r="L63" s="82">
        <f>J63+K63-(C63+D63+E63+F63+G63+H63+I63)</f>
        <v/>
      </c>
      <c r="M63" s="82">
        <f>L63/(1+Global_Assumptions!$B$7)^$A63</f>
        <v/>
      </c>
    </row>
    <row r="64" ht="15" customHeight="1" s="45">
      <c r="A64" s="52" t="n">
        <v>47</v>
      </c>
      <c r="B64" s="80">
        <f>1-MIN(8760,SUMPRODUCT(Lifecycle_50yr!$B$4:$B$10,Lifecycle_50yr!$F$4:$F$10,--(MOD($A64,Lifecycle_50yr!$C$4:$C$10)=0))+SUMPRODUCT(Lifecycle_50yr!$B$4:$B$10,Lifecycle_50yr!$E$4:$E$10,--(MOD($A64,Lifecycle_50yr!$M$4:$M$10)=0))+SUMPRODUCT(Lifecycle_50yr!$B$4:$B$10,Lifecycle_50yr!$P$4:$P$10))/8760</f>
        <v/>
      </c>
      <c r="C64" s="82">
        <f>IF($A64=1,$H$6,0)</f>
        <v/>
      </c>
      <c r="D64" s="82">
        <f>SUMPRODUCT(Lifecycle_50yr!$B$4:$B$10,Lifecycle_50yr!$G$4:$G$10,--(MOD($A64,Lifecycle_50yr!$C$4:$C$10)=0))</f>
        <v/>
      </c>
      <c r="E64" s="82">
        <f>SUMPRODUCT(Lifecycle_50yr!$B$4:$B$10,Lifecycle_50yr!$H$4:$H$10,--(MOD($A64,Lifecycle_50yr!$M$4:$M$10)=0))</f>
        <v/>
      </c>
      <c r="F64" s="82">
        <f>Blend_Properties!$B$3*(1-$E$4)*Global_Assumptions!$B$16/$E$7*B64</f>
        <v/>
      </c>
      <c r="G64" s="82">
        <f>$E$3*Global_Assumptions!$B$13/$E$7*B64</f>
        <v/>
      </c>
      <c r="H64" s="82">
        <f>$B$15*B64</f>
        <v/>
      </c>
      <c r="I64" s="82">
        <f>($B$11+$B$14)*B64+$B$12+$B$13</f>
        <v/>
      </c>
      <c r="J64" s="82">
        <f>$E$3*Global_Assumptions!$B$66*B64</f>
        <v/>
      </c>
      <c r="K64" s="82">
        <f>($E$5*Global_Assumptions!$B$20+$E$3*Global_Assumptions!$B$68*(--($A64&lt;=Global_Assumptions!$B$86)))*B64</f>
        <v/>
      </c>
      <c r="L64" s="82">
        <f>J64+K64-(C64+D64+E64+F64+G64+H64+I64)</f>
        <v/>
      </c>
      <c r="M64" s="82">
        <f>L64/(1+Global_Assumptions!$B$7)^$A64</f>
        <v/>
      </c>
    </row>
    <row r="65" ht="15" customHeight="1" s="45">
      <c r="A65" s="52" t="n">
        <v>48</v>
      </c>
      <c r="B65" s="80">
        <f>1-MIN(8760,SUMPRODUCT(Lifecycle_50yr!$B$4:$B$10,Lifecycle_50yr!$F$4:$F$10,--(MOD($A65,Lifecycle_50yr!$C$4:$C$10)=0))+SUMPRODUCT(Lifecycle_50yr!$B$4:$B$10,Lifecycle_50yr!$E$4:$E$10,--(MOD($A65,Lifecycle_50yr!$M$4:$M$10)=0))+SUMPRODUCT(Lifecycle_50yr!$B$4:$B$10,Lifecycle_50yr!$P$4:$P$10))/8760</f>
        <v/>
      </c>
      <c r="C65" s="82">
        <f>IF($A65=1,$H$6,0)</f>
        <v/>
      </c>
      <c r="D65" s="82">
        <f>SUMPRODUCT(Lifecycle_50yr!$B$4:$B$10,Lifecycle_50yr!$G$4:$G$10,--(MOD($A65,Lifecycle_50yr!$C$4:$C$10)=0))</f>
        <v/>
      </c>
      <c r="E65" s="82">
        <f>SUMPRODUCT(Lifecycle_50yr!$B$4:$B$10,Lifecycle_50yr!$H$4:$H$10,--(MOD($A65,Lifecycle_50yr!$M$4:$M$10)=0))</f>
        <v/>
      </c>
      <c r="F65" s="82">
        <f>Blend_Properties!$B$3*(1-$E$4)*Global_Assumptions!$B$16/$E$7*B65</f>
        <v/>
      </c>
      <c r="G65" s="82">
        <f>$E$3*Global_Assumptions!$B$13/$E$7*B65</f>
        <v/>
      </c>
      <c r="H65" s="82">
        <f>$B$15*B65</f>
        <v/>
      </c>
      <c r="I65" s="82">
        <f>($B$11+$B$14)*B65+$B$12+$B$13</f>
        <v/>
      </c>
      <c r="J65" s="82">
        <f>$E$3*Global_Assumptions!$B$66*B65</f>
        <v/>
      </c>
      <c r="K65" s="82">
        <f>($E$5*Global_Assumptions!$B$20+$E$3*Global_Assumptions!$B$68*(--($A65&lt;=Global_Assumptions!$B$86)))*B65</f>
        <v/>
      </c>
      <c r="L65" s="82">
        <f>J65+K65-(C65+D65+E65+F65+G65+H65+I65)</f>
        <v/>
      </c>
      <c r="M65" s="82">
        <f>L65/(1+Global_Assumptions!$B$7)^$A65</f>
        <v/>
      </c>
    </row>
    <row r="66" ht="15" customHeight="1" s="45">
      <c r="A66" s="52" t="n">
        <v>49</v>
      </c>
      <c r="B66" s="80">
        <f>1-MIN(8760,SUMPRODUCT(Lifecycle_50yr!$B$4:$B$10,Lifecycle_50yr!$F$4:$F$10,--(MOD($A66,Lifecycle_50yr!$C$4:$C$10)=0))+SUMPRODUCT(Lifecycle_50yr!$B$4:$B$10,Lifecycle_50yr!$E$4:$E$10,--(MOD($A66,Lifecycle_50yr!$M$4:$M$10)=0))+SUMPRODUCT(Lifecycle_50yr!$B$4:$B$10,Lifecycle_50yr!$P$4:$P$10))/8760</f>
        <v/>
      </c>
      <c r="C66" s="82">
        <f>IF($A66=1,$H$6,0)</f>
        <v/>
      </c>
      <c r="D66" s="82">
        <f>SUMPRODUCT(Lifecycle_50yr!$B$4:$B$10,Lifecycle_50yr!$G$4:$G$10,--(MOD($A66,Lifecycle_50yr!$C$4:$C$10)=0))</f>
        <v/>
      </c>
      <c r="E66" s="82">
        <f>SUMPRODUCT(Lifecycle_50yr!$B$4:$B$10,Lifecycle_50yr!$H$4:$H$10,--(MOD($A66,Lifecycle_50yr!$M$4:$M$10)=0))</f>
        <v/>
      </c>
      <c r="F66" s="82">
        <f>Blend_Properties!$B$3*(1-$E$4)*Global_Assumptions!$B$16/$E$7*B66</f>
        <v/>
      </c>
      <c r="G66" s="82">
        <f>$E$3*Global_Assumptions!$B$13/$E$7*B66</f>
        <v/>
      </c>
      <c r="H66" s="82">
        <f>$B$15*B66</f>
        <v/>
      </c>
      <c r="I66" s="82">
        <f>($B$11+$B$14)*B66+$B$12+$B$13</f>
        <v/>
      </c>
      <c r="J66" s="82">
        <f>$E$3*Global_Assumptions!$B$66*B66</f>
        <v/>
      </c>
      <c r="K66" s="82">
        <f>($E$5*Global_Assumptions!$B$20+$E$3*Global_Assumptions!$B$68*(--($A66&lt;=Global_Assumptions!$B$86)))*B66</f>
        <v/>
      </c>
      <c r="L66" s="82">
        <f>J66+K66-(C66+D66+E66+F66+G66+H66+I66)</f>
        <v/>
      </c>
      <c r="M66" s="82">
        <f>L66/(1+Global_Assumptions!$B$7)^$A66</f>
        <v/>
      </c>
    </row>
    <row r="67" ht="15" customHeight="1" s="45">
      <c r="A67" s="52" t="n">
        <v>50</v>
      </c>
      <c r="B67" s="80">
        <f>1-MIN(8760,SUMPRODUCT(Lifecycle_50yr!$B$4:$B$10,Lifecycle_50yr!$F$4:$F$10,--(MOD($A67,Lifecycle_50yr!$C$4:$C$10)=0))+SUMPRODUCT(Lifecycle_50yr!$B$4:$B$10,Lifecycle_50yr!$E$4:$E$10,--(MOD($A67,Lifecycle_50yr!$M$4:$M$10)=0))+SUMPRODUCT(Lifecycle_50yr!$B$4:$B$10,Lifecycle_50yr!$P$4:$P$10))/8760</f>
        <v/>
      </c>
      <c r="C67" s="82">
        <f>IF($A67=1,$H$6,0)</f>
        <v/>
      </c>
      <c r="D67" s="82">
        <f>SUMPRODUCT(Lifecycle_50yr!$B$4:$B$10,Lifecycle_50yr!$G$4:$G$10,--(MOD($A67,Lifecycle_50yr!$C$4:$C$10)=0))</f>
        <v/>
      </c>
      <c r="E67" s="82">
        <f>SUMPRODUCT(Lifecycle_50yr!$B$4:$B$10,Lifecycle_50yr!$H$4:$H$10,--(MOD($A67,Lifecycle_50yr!$M$4:$M$10)=0))</f>
        <v/>
      </c>
      <c r="F67" s="82">
        <f>Blend_Properties!$B$3*(1-$E$4)*Global_Assumptions!$B$16/$E$7*B67</f>
        <v/>
      </c>
      <c r="G67" s="82">
        <f>$E$3*Global_Assumptions!$B$13/$E$7*B67</f>
        <v/>
      </c>
      <c r="H67" s="82">
        <f>$B$15*B67</f>
        <v/>
      </c>
      <c r="I67" s="82">
        <f>($B$11+$B$14)*B67+$B$12+$B$13</f>
        <v/>
      </c>
      <c r="J67" s="82">
        <f>$E$3*Global_Assumptions!$B$66*B67</f>
        <v/>
      </c>
      <c r="K67" s="82">
        <f>($E$5*Global_Assumptions!$B$20+$E$3*Global_Assumptions!$B$68*(--($A67&lt;=Global_Assumptions!$B$86)))*B67</f>
        <v/>
      </c>
      <c r="L67" s="82">
        <f>J67+K67-(C67+D67+E67+F67+G67+H67+I67)</f>
        <v/>
      </c>
      <c r="M67" s="82">
        <f>L67/(1+Global_Assumptions!$B$7)^$A67</f>
        <v/>
      </c>
    </row>
    <row r="69" ht="15" customHeight="1" s="45">
      <c r="A69" s="83" t="inlineStr">
        <is>
          <t>NPV (net, $)</t>
        </is>
      </c>
      <c r="M69" s="96">
        <f>SUM(M18:M67)</f>
        <v/>
      </c>
    </row>
    <row r="70" ht="15" customHeight="1" s="45">
      <c r="A70" s="51" t="inlineStr">
        <is>
          <t>Undiscounted net 50-yr ($)</t>
        </is>
      </c>
      <c r="L70" s="82">
        <f>SUM(L18:L67)</f>
        <v/>
      </c>
    </row>
    <row r="71" ht="15" customHeight="1" s="45">
      <c r="A71" s="51" t="inlineStr">
        <is>
          <t>Mean availability (50-yr)</t>
        </is>
      </c>
      <c r="B71" s="80">
        <f>AVERAGE(B18:B67)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F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44" min="1" max="1"/>
    <col width="18" customWidth="1" style="44" min="2" max="4"/>
    <col width="14" customWidth="1" style="44" min="5" max="5"/>
  </cols>
  <sheetData>
    <row r="1" ht="15.75" customHeight="1" s="45">
      <c r="A1" s="46" t="inlineStr">
        <is>
          <t>NPV COMPARISON ACROSS SCENARIOS — UCI Microturbine</t>
        </is>
      </c>
    </row>
    <row r="2" ht="15" customHeight="1" s="45">
      <c r="A2" s="98" t="inlineStr">
        <is>
          <t>Screening NPV. Lead with the INCREMENTAL column (vs the 0% fossil baseline); the 0% incremental NPV is zero by construction. Absolute NPV is retained for continuity only and is non-decision-grade (end-use benefit = avoided electricity/heat, not modelled here; transmission uses a merchant revenue proxy).</t>
        </is>
      </c>
    </row>
    <row r="3" ht="15" customHeight="1" s="45">
      <c r="A3" s="51" t="inlineStr">
        <is>
          <t>Annuity factor (50 yr)</t>
        </is>
      </c>
      <c r="B3" s="75">
        <f>(1-(1+Global_Assumptions!$B$7)^-Global_Assumptions!$B$63)/Global_Assumptions!$B$7</f>
        <v/>
      </c>
      <c r="D3" s="51" t="inlineStr">
        <is>
          <t>Mean availability</t>
        </is>
      </c>
      <c r="E3" s="81">
        <f>Lifecycle_50yr!$B$15</f>
        <v/>
      </c>
    </row>
    <row r="5" ht="15" customHeight="1" s="45">
      <c r="A5" s="83" t="inlineStr">
        <is>
          <t>A. NPV vs blend (near injection, retrofit)</t>
        </is>
      </c>
    </row>
    <row r="6" ht="15" customHeight="1" s="45">
      <c r="A6" s="55" t="inlineStr">
        <is>
          <t>Scenario</t>
        </is>
      </c>
      <c r="B6" s="55" t="inlineStr">
        <is>
          <t>CAPEX ($)</t>
        </is>
      </c>
      <c r="C6" s="55" t="inlineStr">
        <is>
          <t>Annual net ($/yr)</t>
        </is>
      </c>
      <c r="D6" s="99" t="inlineStr">
        <is>
          <t>Absolute NPV 50yr ($) — non-decision-grade</t>
        </is>
      </c>
      <c r="E6" s="55" t="inlineStr">
        <is>
          <t>Avail.</t>
        </is>
      </c>
      <c r="F6" s="100" t="inlineStr">
        <is>
          <t>Incremental NPV vs 0% ($) — decision-relevant</t>
        </is>
      </c>
    </row>
    <row r="7" ht="15" customHeight="1" s="45">
      <c r="A7" s="51" t="inlineStr">
        <is>
          <t>0% near retrofit</t>
        </is>
      </c>
      <c r="B7" s="82">
        <f>(SUMIFS(Scenario_Results!$F$4:$F$27,Scenario_Results!$A$4:$A$27,0,Scenario_Results!$B$4:$B$27,TEA_Hydraulics!$B$3,Scenario_Results!$C$4:$C$27,"retrofit")+SUMIFS(Scenario_Results!$G$4:$G$27,Scenario_Results!$A$4:$A$27,0,Scenario_Results!$B$4:$B$27,TEA_Hydraulics!$B$3,Scenario_Results!$C$4:$C$27,"retrofit")+SUMIFS(Scenario_Results!$H$4:$H$27,Scenario_Results!$A$4:$A$27,0,Scenario_Results!$B$4:$B$27,TEA_Hydraulics!$B$3,Scenario_Results!$C$4:$C$27,"retrofit"))</f>
        <v/>
      </c>
      <c r="C7" s="82">
        <f>(INDEX(Blend_Properties!$F$6:$F$13,MATCH(0,Blend_Properties!$A$6:$A$13,0))*Global_Assumptions!$B$66*Lifecycle_50yr!$B$15)+((INDEX(Blend_Properties!$G$6:$G$13,MATCH(0,Blend_Properties!$A$6:$A$13,0))*Global_Assumptions!$B$20+INDEX(Blend_Properties!$F$6:$F$13,MATCH(0,Blend_Properties!$A$6:$A$13,0))*Global_Assumptions!$B$68)*Lifecycle_50yr!$B$15)-(Lifecycle_50yr!$B$18+Lifecycle_50yr!$B$19+(Blend_Properties!$B$3*(1-INDEX(Blend_Properties!$B$6:$B$13,MATCH(0,Blend_Properties!$A$6:$A$13,0)))*Global_Assumptions!$B$16/(1+Global_Assumptions!$B$64*(0/100))*Lifecycle_50yr!$B$15)+(INDEX(Blend_Properties!$F$6:$F$13,MATCH(0,Blend_Properties!$A$6:$A$13,0))*Global_Assumptions!$B$13/(1+Global_Assumptions!$B$64*(0/100))*Lifecycle_50yr!$B$15)+(INDEX(Blend_Properties!$F$6:$F$13,MATCH(0,Blend_Properties!$A$6:$A$13,0))/365*Global_Assumptions!$B$49*Global_Assumptions!$B$48*Global_Assumptions!$B$65*Lifecycle_50yr!$B$15)+((INDEX(Blend_Properties!$F$6:$F$13,MATCH(0,Blend_Properties!$A$6:$A$13,0))*Global_Assumptions!$B$38*Global_Assumptions!$B$19+0.15*INDEX(Blend_Properties!$F$6:$F$13,MATCH(0,Blend_Properties!$A$6:$A$13,0)))*Lifecycle_50yr!$B$15+SUMIFS(Scenario_Results!$G$4:$G$27,Scenario_Results!$A$4:$A$27,0,Scenario_Results!$B$4:$B$27,TEA_Hydraulics!$B$3,Scenario_Results!$C$4:$C$27,"retrofit")*Global_Assumptions!$B$41+SUMIFS(Scenario_Results!$F$4:$F$27,Scenario_Results!$A$4:$A$27,0,Scenario_Results!$B$4:$B$27,TEA_Hydraulics!$B$3,Scenario_Results!$C$4:$C$27,"retrofit")*Global_Assumptions!$B$50))</f>
        <v/>
      </c>
      <c r="D7" s="82">
        <f>-B7+C7*$B$3</f>
        <v/>
      </c>
      <c r="E7" s="81">
        <f>Lifecycle_50yr!$B$15</f>
        <v/>
      </c>
      <c r="F7" s="72">
        <f>D7-$D$7</f>
        <v/>
      </c>
    </row>
    <row r="8" ht="15" customHeight="1" s="45">
      <c r="A8" s="51" t="inlineStr">
        <is>
          <t>5% near retrofit</t>
        </is>
      </c>
      <c r="B8" s="82">
        <f>(SUMIFS(Scenario_Results!$F$4:$F$27,Scenario_Results!$A$4:$A$27,5,Scenario_Results!$B$4:$B$27,TEA_Hydraulics!$B$3,Scenario_Results!$C$4:$C$27,"retrofit")+SUMIFS(Scenario_Results!$G$4:$G$27,Scenario_Results!$A$4:$A$27,5,Scenario_Results!$B$4:$B$27,TEA_Hydraulics!$B$3,Scenario_Results!$C$4:$C$27,"retrofit")+SUMIFS(Scenario_Results!$H$4:$H$27,Scenario_Results!$A$4:$A$27,5,Scenario_Results!$B$4:$B$27,TEA_Hydraulics!$B$3,Scenario_Results!$C$4:$C$27,"retrofit"))</f>
        <v/>
      </c>
      <c r="C8" s="82">
        <f>(INDEX(Blend_Properties!$F$6:$F$13,MATCH(5,Blend_Properties!$A$6:$A$13,0))*Global_Assumptions!$B$66*Lifecycle_50yr!$B$15)+((INDEX(Blend_Properties!$G$6:$G$13,MATCH(5,Blend_Properties!$A$6:$A$13,0))*Global_Assumptions!$B$20+INDEX(Blend_Properties!$F$6:$F$13,MATCH(5,Blend_Properties!$A$6:$A$13,0))*Global_Assumptions!$B$68)*Lifecycle_50yr!$B$15)-(Lifecycle_50yr!$B$18+Lifecycle_50yr!$B$19+(Blend_Properties!$B$3*(1-INDEX(Blend_Properties!$B$6:$B$13,MATCH(5,Blend_Properties!$A$6:$A$13,0)))*Global_Assumptions!$B$16/(1+Global_Assumptions!$B$64*(5/100))*Lifecycle_50yr!$B$15)+(INDEX(Blend_Properties!$F$6:$F$13,MATCH(5,Blend_Properties!$A$6:$A$13,0))*Global_Assumptions!$B$13/(1+Global_Assumptions!$B$64*(5/100))*Lifecycle_50yr!$B$15)+(INDEX(Blend_Properties!$F$6:$F$13,MATCH(5,Blend_Properties!$A$6:$A$13,0))/365*Global_Assumptions!$B$49*Global_Assumptions!$B$48*Global_Assumptions!$B$65*Lifecycle_50yr!$B$15)+((INDEX(Blend_Properties!$F$6:$F$13,MATCH(5,Blend_Properties!$A$6:$A$13,0))*Global_Assumptions!$B$38*Global_Assumptions!$B$19+0.15*INDEX(Blend_Properties!$F$6:$F$13,MATCH(5,Blend_Properties!$A$6:$A$13,0)))*Lifecycle_50yr!$B$15+SUMIFS(Scenario_Results!$G$4:$G$27,Scenario_Results!$A$4:$A$27,5,Scenario_Results!$B$4:$B$27,TEA_Hydraulics!$B$3,Scenario_Results!$C$4:$C$27,"retrofit")*Global_Assumptions!$B$41+SUMIFS(Scenario_Results!$F$4:$F$27,Scenario_Results!$A$4:$A$27,5,Scenario_Results!$B$4:$B$27,TEA_Hydraulics!$B$3,Scenario_Results!$C$4:$C$27,"retrofit")*Global_Assumptions!$B$50))</f>
        <v/>
      </c>
      <c r="D8" s="82">
        <f>-B8+C8*$B$3</f>
        <v/>
      </c>
      <c r="E8" s="81">
        <f>Lifecycle_50yr!$B$15</f>
        <v/>
      </c>
      <c r="F8" s="72">
        <f>D8-$D$7</f>
        <v/>
      </c>
    </row>
    <row r="9" ht="15" customHeight="1" s="45">
      <c r="A9" s="51" t="inlineStr">
        <is>
          <t>10% near retrofit</t>
        </is>
      </c>
      <c r="B9" s="82">
        <f>(SUMIFS(Scenario_Results!$F$4:$F$27,Scenario_Results!$A$4:$A$27,10,Scenario_Results!$B$4:$B$27,TEA_Hydraulics!$B$3,Scenario_Results!$C$4:$C$27,"retrofit")+SUMIFS(Scenario_Results!$G$4:$G$27,Scenario_Results!$A$4:$A$27,10,Scenario_Results!$B$4:$B$27,TEA_Hydraulics!$B$3,Scenario_Results!$C$4:$C$27,"retrofit")+SUMIFS(Scenario_Results!$H$4:$H$27,Scenario_Results!$A$4:$A$27,10,Scenario_Results!$B$4:$B$27,TEA_Hydraulics!$B$3,Scenario_Results!$C$4:$C$27,"retrofit"))</f>
        <v/>
      </c>
      <c r="C9" s="82">
        <f>(INDEX(Blend_Properties!$F$6:$F$13,MATCH(10,Blend_Properties!$A$6:$A$13,0))*Global_Assumptions!$B$66*Lifecycle_50yr!$B$15)+((INDEX(Blend_Properties!$G$6:$G$13,MATCH(10,Blend_Properties!$A$6:$A$13,0))*Global_Assumptions!$B$20+INDEX(Blend_Properties!$F$6:$F$13,MATCH(10,Blend_Properties!$A$6:$A$13,0))*Global_Assumptions!$B$68)*Lifecycle_50yr!$B$15)-(Lifecycle_50yr!$B$18+Lifecycle_50yr!$B$19+(Blend_Properties!$B$3*(1-INDEX(Blend_Properties!$B$6:$B$13,MATCH(10,Blend_Properties!$A$6:$A$13,0)))*Global_Assumptions!$B$16/(1+Global_Assumptions!$B$64*(10/100))*Lifecycle_50yr!$B$15)+(INDEX(Blend_Properties!$F$6:$F$13,MATCH(10,Blend_Properties!$A$6:$A$13,0))*Global_Assumptions!$B$13/(1+Global_Assumptions!$B$64*(10/100))*Lifecycle_50yr!$B$15)+(INDEX(Blend_Properties!$F$6:$F$13,MATCH(10,Blend_Properties!$A$6:$A$13,0))/365*Global_Assumptions!$B$49*Global_Assumptions!$B$48*Global_Assumptions!$B$65*Lifecycle_50yr!$B$15)+((INDEX(Blend_Properties!$F$6:$F$13,MATCH(10,Blend_Properties!$A$6:$A$13,0))*Global_Assumptions!$B$38*Global_Assumptions!$B$19+0.15*INDEX(Blend_Properties!$F$6:$F$13,MATCH(10,Blend_Properties!$A$6:$A$13,0)))*Lifecycle_50yr!$B$15+SUMIFS(Scenario_Results!$G$4:$G$27,Scenario_Results!$A$4:$A$27,10,Scenario_Results!$B$4:$B$27,TEA_Hydraulics!$B$3,Scenario_Results!$C$4:$C$27,"retrofit")*Global_Assumptions!$B$41+SUMIFS(Scenario_Results!$F$4:$F$27,Scenario_Results!$A$4:$A$27,10,Scenario_Results!$B$4:$B$27,TEA_Hydraulics!$B$3,Scenario_Results!$C$4:$C$27,"retrofit")*Global_Assumptions!$B$50))</f>
        <v/>
      </c>
      <c r="D9" s="82">
        <f>-B9+C9*$B$3</f>
        <v/>
      </c>
      <c r="E9" s="81">
        <f>Lifecycle_50yr!$B$15</f>
        <v/>
      </c>
      <c r="F9" s="72">
        <f>D9-$D$7</f>
        <v/>
      </c>
    </row>
    <row r="10" ht="15" customHeight="1" s="45">
      <c r="A10" s="51" t="inlineStr">
        <is>
          <t>20% near retrofit</t>
        </is>
      </c>
      <c r="B10" s="82">
        <f>(SUMIFS(Scenario_Results!$F$4:$F$27,Scenario_Results!$A$4:$A$27,20,Scenario_Results!$B$4:$B$27,TEA_Hydraulics!$B$3,Scenario_Results!$C$4:$C$27,"retrofit")+SUMIFS(Scenario_Results!$G$4:$G$27,Scenario_Results!$A$4:$A$27,20,Scenario_Results!$B$4:$B$27,TEA_Hydraulics!$B$3,Scenario_Results!$C$4:$C$27,"retrofit")+SUMIFS(Scenario_Results!$H$4:$H$27,Scenario_Results!$A$4:$A$27,20,Scenario_Results!$B$4:$B$27,TEA_Hydraulics!$B$3,Scenario_Results!$C$4:$C$27,"retrofit"))</f>
        <v/>
      </c>
      <c r="C10" s="82">
        <f>(INDEX(Blend_Properties!$F$6:$F$13,MATCH(20,Blend_Properties!$A$6:$A$13,0))*Global_Assumptions!$B$66*Lifecycle_50yr!$B$15)+((INDEX(Blend_Properties!$G$6:$G$13,MATCH(20,Blend_Properties!$A$6:$A$13,0))*Global_Assumptions!$B$20+INDEX(Blend_Properties!$F$6:$F$13,MATCH(20,Blend_Properties!$A$6:$A$13,0))*Global_Assumptions!$B$68)*Lifecycle_50yr!$B$15)-(Lifecycle_50yr!$B$18+Lifecycle_50yr!$B$19+(Blend_Properties!$B$3*(1-INDEX(Blend_Properties!$B$6:$B$13,MATCH(20,Blend_Properties!$A$6:$A$13,0)))*Global_Assumptions!$B$16/(1+Global_Assumptions!$B$64*(20/100))*Lifecycle_50yr!$B$15)+(INDEX(Blend_Properties!$F$6:$F$13,MATCH(20,Blend_Properties!$A$6:$A$13,0))*Global_Assumptions!$B$13/(1+Global_Assumptions!$B$64*(20/100))*Lifecycle_50yr!$B$15)+(INDEX(Blend_Properties!$F$6:$F$13,MATCH(20,Blend_Properties!$A$6:$A$13,0))/365*Global_Assumptions!$B$49*Global_Assumptions!$B$48*Global_Assumptions!$B$65*Lifecycle_50yr!$B$15)+((INDEX(Blend_Properties!$F$6:$F$13,MATCH(20,Blend_Properties!$A$6:$A$13,0))*Global_Assumptions!$B$38*Global_Assumptions!$B$19+0.15*INDEX(Blend_Properties!$F$6:$F$13,MATCH(20,Blend_Properties!$A$6:$A$13,0)))*Lifecycle_50yr!$B$15+SUMIFS(Scenario_Results!$G$4:$G$27,Scenario_Results!$A$4:$A$27,20,Scenario_Results!$B$4:$B$27,TEA_Hydraulics!$B$3,Scenario_Results!$C$4:$C$27,"retrofit")*Global_Assumptions!$B$41+SUMIFS(Scenario_Results!$F$4:$F$27,Scenario_Results!$A$4:$A$27,20,Scenario_Results!$B$4:$B$27,TEA_Hydraulics!$B$3,Scenario_Results!$C$4:$C$27,"retrofit")*Global_Assumptions!$B$50))</f>
        <v/>
      </c>
      <c r="D10" s="82">
        <f>-B10+C10*$B$3</f>
        <v/>
      </c>
      <c r="E10" s="81">
        <f>Lifecycle_50yr!$B$15</f>
        <v/>
      </c>
      <c r="F10" s="72">
        <f>D10-$D$7</f>
        <v/>
      </c>
    </row>
    <row r="11" ht="15" customHeight="1" s="45">
      <c r="A11" s="51" t="inlineStr">
        <is>
          <t>30% near retrofit</t>
        </is>
      </c>
      <c r="B11" s="82">
        <f>(SUMIFS(Scenario_Results!$F$4:$F$27,Scenario_Results!$A$4:$A$27,30,Scenario_Results!$B$4:$B$27,TEA_Hydraulics!$B$3,Scenario_Results!$C$4:$C$27,"retrofit")+SUMIFS(Scenario_Results!$G$4:$G$27,Scenario_Results!$A$4:$A$27,30,Scenario_Results!$B$4:$B$27,TEA_Hydraulics!$B$3,Scenario_Results!$C$4:$C$27,"retrofit")+SUMIFS(Scenario_Results!$H$4:$H$27,Scenario_Results!$A$4:$A$27,30,Scenario_Results!$B$4:$B$27,TEA_Hydraulics!$B$3,Scenario_Results!$C$4:$C$27,"retrofit"))</f>
        <v/>
      </c>
      <c r="C11" s="82">
        <f>(INDEX(Blend_Properties!$F$6:$F$13,MATCH(30,Blend_Properties!$A$6:$A$13,0))*Global_Assumptions!$B$66*Lifecycle_50yr!$B$15)+((INDEX(Blend_Properties!$G$6:$G$13,MATCH(30,Blend_Properties!$A$6:$A$13,0))*Global_Assumptions!$B$20+INDEX(Blend_Properties!$F$6:$F$13,MATCH(30,Blend_Properties!$A$6:$A$13,0))*Global_Assumptions!$B$68)*Lifecycle_50yr!$B$15)-(Lifecycle_50yr!$B$18+Lifecycle_50yr!$B$19+(Blend_Properties!$B$3*(1-INDEX(Blend_Properties!$B$6:$B$13,MATCH(30,Blend_Properties!$A$6:$A$13,0)))*Global_Assumptions!$B$16/(1+Global_Assumptions!$B$64*(30/100))*Lifecycle_50yr!$B$15)+(INDEX(Blend_Properties!$F$6:$F$13,MATCH(30,Blend_Properties!$A$6:$A$13,0))*Global_Assumptions!$B$13/(1+Global_Assumptions!$B$64*(30/100))*Lifecycle_50yr!$B$15)+(INDEX(Blend_Properties!$F$6:$F$13,MATCH(30,Blend_Properties!$A$6:$A$13,0))/365*Global_Assumptions!$B$49*Global_Assumptions!$B$48*Global_Assumptions!$B$65*Lifecycle_50yr!$B$15)+((INDEX(Blend_Properties!$F$6:$F$13,MATCH(30,Blend_Properties!$A$6:$A$13,0))*Global_Assumptions!$B$38*Global_Assumptions!$B$19+0.15*INDEX(Blend_Properties!$F$6:$F$13,MATCH(30,Blend_Properties!$A$6:$A$13,0)))*Lifecycle_50yr!$B$15+SUMIFS(Scenario_Results!$G$4:$G$27,Scenario_Results!$A$4:$A$27,30,Scenario_Results!$B$4:$B$27,TEA_Hydraulics!$B$3,Scenario_Results!$C$4:$C$27,"retrofit")*Global_Assumptions!$B$41+SUMIFS(Scenario_Results!$F$4:$F$27,Scenario_Results!$A$4:$A$27,30,Scenario_Results!$B$4:$B$27,TEA_Hydraulics!$B$3,Scenario_Results!$C$4:$C$27,"retrofit")*Global_Assumptions!$B$50))</f>
        <v/>
      </c>
      <c r="D11" s="82">
        <f>-B11+C11*$B$3</f>
        <v/>
      </c>
      <c r="E11" s="81">
        <f>Lifecycle_50yr!$B$15</f>
        <v/>
      </c>
      <c r="F11" s="72">
        <f>D11-$D$7</f>
        <v/>
      </c>
    </row>
    <row r="12" ht="15" customHeight="1" s="45">
      <c r="A12" s="51" t="inlineStr">
        <is>
          <t>50% near retrofit</t>
        </is>
      </c>
      <c r="B12" s="82">
        <f>(SUMIFS(Scenario_Results!$F$4:$F$27,Scenario_Results!$A$4:$A$27,50,Scenario_Results!$B$4:$B$27,TEA_Hydraulics!$B$3,Scenario_Results!$C$4:$C$27,"retrofit")+SUMIFS(Scenario_Results!$G$4:$G$27,Scenario_Results!$A$4:$A$27,50,Scenario_Results!$B$4:$B$27,TEA_Hydraulics!$B$3,Scenario_Results!$C$4:$C$27,"retrofit")+SUMIFS(Scenario_Results!$H$4:$H$27,Scenario_Results!$A$4:$A$27,50,Scenario_Results!$B$4:$B$27,TEA_Hydraulics!$B$3,Scenario_Results!$C$4:$C$27,"retrofit"))</f>
        <v/>
      </c>
      <c r="C12" s="82">
        <f>(INDEX(Blend_Properties!$F$6:$F$13,MATCH(50,Blend_Properties!$A$6:$A$13,0))*Global_Assumptions!$B$66*Lifecycle_50yr!$B$15)+((INDEX(Blend_Properties!$G$6:$G$13,MATCH(50,Blend_Properties!$A$6:$A$13,0))*Global_Assumptions!$B$20+INDEX(Blend_Properties!$F$6:$F$13,MATCH(50,Blend_Properties!$A$6:$A$13,0))*Global_Assumptions!$B$68)*Lifecycle_50yr!$B$15)-(Lifecycle_50yr!$B$18+Lifecycle_50yr!$B$19+(Blend_Properties!$B$3*(1-INDEX(Blend_Properties!$B$6:$B$13,MATCH(50,Blend_Properties!$A$6:$A$13,0)))*Global_Assumptions!$B$16/(1+Global_Assumptions!$B$64*(50/100))*Lifecycle_50yr!$B$15)+(INDEX(Blend_Properties!$F$6:$F$13,MATCH(50,Blend_Properties!$A$6:$A$13,0))*Global_Assumptions!$B$13/(1+Global_Assumptions!$B$64*(50/100))*Lifecycle_50yr!$B$15)+(INDEX(Blend_Properties!$F$6:$F$13,MATCH(50,Blend_Properties!$A$6:$A$13,0))/365*Global_Assumptions!$B$49*Global_Assumptions!$B$48*Global_Assumptions!$B$65*Lifecycle_50yr!$B$15)+((INDEX(Blend_Properties!$F$6:$F$13,MATCH(50,Blend_Properties!$A$6:$A$13,0))*Global_Assumptions!$B$38*Global_Assumptions!$B$19+0.15*INDEX(Blend_Properties!$F$6:$F$13,MATCH(50,Blend_Properties!$A$6:$A$13,0)))*Lifecycle_50yr!$B$15+SUMIFS(Scenario_Results!$G$4:$G$27,Scenario_Results!$A$4:$A$27,50,Scenario_Results!$B$4:$B$27,TEA_Hydraulics!$B$3,Scenario_Results!$C$4:$C$27,"retrofit")*Global_Assumptions!$B$41+SUMIFS(Scenario_Results!$F$4:$F$27,Scenario_Results!$A$4:$A$27,50,Scenario_Results!$B$4:$B$27,TEA_Hydraulics!$B$3,Scenario_Results!$C$4:$C$27,"retrofit")*Global_Assumptions!$B$50))</f>
        <v/>
      </c>
      <c r="D12" s="82">
        <f>-B12+C12*$B$3</f>
        <v/>
      </c>
      <c r="E12" s="81">
        <f>Lifecycle_50yr!$B$15</f>
        <v/>
      </c>
      <c r="F12" s="72">
        <f>D12-$D$7</f>
        <v/>
      </c>
    </row>
    <row r="13" ht="15" customHeight="1" s="45">
      <c r="A13" s="51" t="inlineStr">
        <is>
          <t>75% near retrofit</t>
        </is>
      </c>
      <c r="B13" s="82">
        <f>(SUMIFS(Scenario_Results!$F$4:$F$27,Scenario_Results!$A$4:$A$27,75,Scenario_Results!$B$4:$B$27,TEA_Hydraulics!$B$3,Scenario_Results!$C$4:$C$27,"retrofit")+SUMIFS(Scenario_Results!$G$4:$G$27,Scenario_Results!$A$4:$A$27,75,Scenario_Results!$B$4:$B$27,TEA_Hydraulics!$B$3,Scenario_Results!$C$4:$C$27,"retrofit")+SUMIFS(Scenario_Results!$H$4:$H$27,Scenario_Results!$A$4:$A$27,75,Scenario_Results!$B$4:$B$27,TEA_Hydraulics!$B$3,Scenario_Results!$C$4:$C$27,"retrofit"))</f>
        <v/>
      </c>
      <c r="C13" s="82">
        <f>(INDEX(Blend_Properties!$F$6:$F$13,MATCH(75,Blend_Properties!$A$6:$A$13,0))*Global_Assumptions!$B$66*Lifecycle_50yr!$B$15)+((INDEX(Blend_Properties!$G$6:$G$13,MATCH(75,Blend_Properties!$A$6:$A$13,0))*Global_Assumptions!$B$20+INDEX(Blend_Properties!$F$6:$F$13,MATCH(75,Blend_Properties!$A$6:$A$13,0))*Global_Assumptions!$B$68)*Lifecycle_50yr!$B$15)-(Lifecycle_50yr!$B$18+Lifecycle_50yr!$B$19+(Blend_Properties!$B$3*(1-INDEX(Blend_Properties!$B$6:$B$13,MATCH(75,Blend_Properties!$A$6:$A$13,0)))*Global_Assumptions!$B$16/(1+Global_Assumptions!$B$64*(75/100))*Lifecycle_50yr!$B$15)+(INDEX(Blend_Properties!$F$6:$F$13,MATCH(75,Blend_Properties!$A$6:$A$13,0))*Global_Assumptions!$B$13/(1+Global_Assumptions!$B$64*(75/100))*Lifecycle_50yr!$B$15)+(INDEX(Blend_Properties!$F$6:$F$13,MATCH(75,Blend_Properties!$A$6:$A$13,0))/365*Global_Assumptions!$B$49*Global_Assumptions!$B$48*Global_Assumptions!$B$65*Lifecycle_50yr!$B$15)+((INDEX(Blend_Properties!$F$6:$F$13,MATCH(75,Blend_Properties!$A$6:$A$13,0))*Global_Assumptions!$B$38*Global_Assumptions!$B$19+0.15*INDEX(Blend_Properties!$F$6:$F$13,MATCH(75,Blend_Properties!$A$6:$A$13,0)))*Lifecycle_50yr!$B$15+SUMIFS(Scenario_Results!$G$4:$G$27,Scenario_Results!$A$4:$A$27,75,Scenario_Results!$B$4:$B$27,TEA_Hydraulics!$B$3,Scenario_Results!$C$4:$C$27,"retrofit")*Global_Assumptions!$B$41+SUMIFS(Scenario_Results!$F$4:$F$27,Scenario_Results!$A$4:$A$27,75,Scenario_Results!$B$4:$B$27,TEA_Hydraulics!$B$3,Scenario_Results!$C$4:$C$27,"retrofit")*Global_Assumptions!$B$50))</f>
        <v/>
      </c>
      <c r="D13" s="82">
        <f>-B13+C13*$B$3</f>
        <v/>
      </c>
      <c r="E13" s="81">
        <f>Lifecycle_50yr!$B$15</f>
        <v/>
      </c>
      <c r="F13" s="72">
        <f>D13-$D$7</f>
        <v/>
      </c>
    </row>
    <row r="14" ht="15" customHeight="1" s="45">
      <c r="A14" s="51" t="inlineStr">
        <is>
          <t>100% near retrofit</t>
        </is>
      </c>
      <c r="B14" s="82">
        <f>(SUMIFS(Scenario_Results!$F$4:$F$27,Scenario_Results!$A$4:$A$27,100,Scenario_Results!$B$4:$B$27,TEA_Hydraulics!$B$3,Scenario_Results!$C$4:$C$27,"retrofit")+SUMIFS(Scenario_Results!$G$4:$G$27,Scenario_Results!$A$4:$A$27,100,Scenario_Results!$B$4:$B$27,TEA_Hydraulics!$B$3,Scenario_Results!$C$4:$C$27,"retrofit")+SUMIFS(Scenario_Results!$H$4:$H$27,Scenario_Results!$A$4:$A$27,100,Scenario_Results!$B$4:$B$27,TEA_Hydraulics!$B$3,Scenario_Results!$C$4:$C$27,"retrofit"))</f>
        <v/>
      </c>
      <c r="C14" s="82">
        <f>(INDEX(Blend_Properties!$F$6:$F$13,MATCH(100,Blend_Properties!$A$6:$A$13,0))*Global_Assumptions!$B$66*Lifecycle_50yr!$B$15)+((INDEX(Blend_Properties!$G$6:$G$13,MATCH(100,Blend_Properties!$A$6:$A$13,0))*Global_Assumptions!$B$20+INDEX(Blend_Properties!$F$6:$F$13,MATCH(100,Blend_Properties!$A$6:$A$13,0))*Global_Assumptions!$B$68)*Lifecycle_50yr!$B$15)-(Lifecycle_50yr!$B$18+Lifecycle_50yr!$B$19+(Blend_Properties!$B$3*(1-INDEX(Blend_Properties!$B$6:$B$13,MATCH(100,Blend_Properties!$A$6:$A$13,0)))*Global_Assumptions!$B$16/(1+Global_Assumptions!$B$64*(100/100))*Lifecycle_50yr!$B$15)+(INDEX(Blend_Properties!$F$6:$F$13,MATCH(100,Blend_Properties!$A$6:$A$13,0))*Global_Assumptions!$B$13/(1+Global_Assumptions!$B$64*(100/100))*Lifecycle_50yr!$B$15)+(INDEX(Blend_Properties!$F$6:$F$13,MATCH(100,Blend_Properties!$A$6:$A$13,0))/365*Global_Assumptions!$B$49*Global_Assumptions!$B$48*Global_Assumptions!$B$65*Lifecycle_50yr!$B$15)+((INDEX(Blend_Properties!$F$6:$F$13,MATCH(100,Blend_Properties!$A$6:$A$13,0))*Global_Assumptions!$B$38*Global_Assumptions!$B$19+0.15*INDEX(Blend_Properties!$F$6:$F$13,MATCH(100,Blend_Properties!$A$6:$A$13,0)))*Lifecycle_50yr!$B$15+SUMIFS(Scenario_Results!$G$4:$G$27,Scenario_Results!$A$4:$A$27,100,Scenario_Results!$B$4:$B$27,TEA_Hydraulics!$B$3,Scenario_Results!$C$4:$C$27,"retrofit")*Global_Assumptions!$B$41+SUMIFS(Scenario_Results!$F$4:$F$27,Scenario_Results!$A$4:$A$27,100,Scenario_Results!$B$4:$B$27,TEA_Hydraulics!$B$3,Scenario_Results!$C$4:$C$27,"retrofit")*Global_Assumptions!$B$50))</f>
        <v/>
      </c>
      <c r="D14" s="82">
        <f>-B14+C14*$B$3</f>
        <v/>
      </c>
      <c r="E14" s="81">
        <f>Lifecycle_50yr!$B$15</f>
        <v/>
      </c>
      <c r="F14" s="72">
        <f>D14-$D$7</f>
        <v/>
      </c>
    </row>
    <row r="16" ht="15" customHeight="1" s="45">
      <c r="A16" s="83" t="inlineStr">
        <is>
          <t>B. NPV vs delivery pressure (20% blend, near retrofit)</t>
        </is>
      </c>
    </row>
    <row r="17" ht="15" customHeight="1" s="45">
      <c r="A17" s="55" t="inlineStr">
        <is>
          <t>Scenario</t>
        </is>
      </c>
      <c r="B17" s="55" t="inlineStr">
        <is>
          <t>CAPEX ($)</t>
        </is>
      </c>
      <c r="C17" s="55" t="inlineStr">
        <is>
          <t>Annual net ($/yr)</t>
        </is>
      </c>
      <c r="D17" s="55" t="inlineStr">
        <is>
          <t>NPV 50yr ($)</t>
        </is>
      </c>
      <c r="E17" s="55" t="inlineStr">
        <is>
          <t>Avail.</t>
        </is>
      </c>
    </row>
    <row r="18" ht="15" customHeight="1" s="45">
      <c r="A18" s="51" t="inlineStr">
        <is>
          <t>200 psig</t>
        </is>
      </c>
      <c r="B18" s="82">
        <f>(SUMIFS(Scenario_Results!$F$4:$F$27,Scenario_Results!$A$4:$A$27,20,Scenario_Results!$B$4:$B$27,TEA_Hydraulics!$B$3,Scenario_Results!$C$4:$C$27,"retrofit")+SUMIFS(Scenario_Results!$G$4:$G$27,Scenario_Results!$A$4:$A$27,20,Scenario_Results!$B$4:$B$27,TEA_Hydraulics!$B$3,Scenario_Results!$C$4:$C$27,"retrofit")+SUMIFS(Scenario_Results!$H$4:$H$27,Scenario_Results!$A$4:$A$27,20,Scenario_Results!$B$4:$B$27,TEA_Hydraulics!$B$3,Scenario_Results!$C$4:$C$27,"retrofit"))</f>
        <v/>
      </c>
      <c r="C18" s="82">
        <f>(INDEX(Blend_Properties!$F$6:$F$13,MATCH(20,Blend_Properties!$A$6:$A$13,0))*Global_Assumptions!$B$66*Lifecycle_50yr!$B$15)+((INDEX(Blend_Properties!$G$6:$G$13,MATCH(20,Blend_Properties!$A$6:$A$13,0))*Global_Assumptions!$B$20+INDEX(Blend_Properties!$F$6:$F$13,MATCH(20,Blend_Properties!$A$6:$A$13,0))*Global_Assumptions!$B$68)*Lifecycle_50yr!$B$15)-(Lifecycle_50yr!$B$18+Lifecycle_50yr!$B$19+(Blend_Properties!$B$3*(1-INDEX(Blend_Properties!$B$6:$B$13,MATCH(20,Blend_Properties!$A$6:$A$13,0)))*Global_Assumptions!$B$16/(1+Global_Assumptions!$B$64*(20/100))*Lifecycle_50yr!$B$15)+(INDEX(Blend_Properties!$F$6:$F$13,MATCH(20,Blend_Properties!$A$6:$A$13,0))*Global_Assumptions!$B$13/(1+Global_Assumptions!$B$64*(20/100))*Lifecycle_50yr!$B$15)+(INDEX(Blend_Properties!$F$6:$F$13,MATCH(20,Blend_Properties!$A$6:$A$13,0))/365*Global_Assumptions!$B$49*Global_Assumptions!$B$48*Global_Assumptions!$B$65*Lifecycle_50yr!$B$15)+((INDEX(Blend_Properties!$F$6:$F$13,MATCH(20,Blend_Properties!$A$6:$A$13,0))*Global_Assumptions!$B$38*Global_Assumptions!$B$19+0.15*INDEX(Blend_Properties!$F$6:$F$13,MATCH(20,Blend_Properties!$A$6:$A$13,0)))*Lifecycle_50yr!$B$15+SUMIFS(Scenario_Results!$G$4:$G$27,Scenario_Results!$A$4:$A$27,20,Scenario_Results!$B$4:$B$27,TEA_Hydraulics!$B$3,Scenario_Results!$C$4:$C$27,"retrofit")*Global_Assumptions!$B$41+SUMIFS(Scenario_Results!$F$4:$F$27,Scenario_Results!$A$4:$A$27,20,Scenario_Results!$B$4:$B$27,TEA_Hydraulics!$B$3,Scenario_Results!$C$4:$C$27,"retrofit")*Global_Assumptions!$B$50))</f>
        <v/>
      </c>
      <c r="D18" s="82">
        <f>-B18+C18*$B$3</f>
        <v/>
      </c>
      <c r="E18" s="81">
        <f>Lifecycle_50yr!$B$15</f>
        <v/>
      </c>
    </row>
    <row r="19" ht="15" customHeight="1" s="45">
      <c r="A19" s="51" t="inlineStr">
        <is>
          <t>390 psig</t>
        </is>
      </c>
      <c r="B19" s="82">
        <f>(SUMIFS(Scenario_Results!$F$4:$F$27,Scenario_Results!$A$4:$A$27,20,Scenario_Results!$B$4:$B$27,TEA_Hydraulics!$B$3,Scenario_Results!$C$4:$C$27,"retrofit")+SUMIFS(Scenario_Results!$G$4:$G$27,Scenario_Results!$A$4:$A$27,20,Scenario_Results!$B$4:$B$27,TEA_Hydraulics!$B$3,Scenario_Results!$C$4:$C$27,"retrofit")+SUMIFS(Scenario_Results!$H$4:$H$27,Scenario_Results!$A$4:$A$27,20,Scenario_Results!$B$4:$B$27,TEA_Hydraulics!$B$3,Scenario_Results!$C$4:$C$27,"retrofit"))</f>
        <v/>
      </c>
      <c r="C19" s="82">
        <f>(INDEX(Blend_Properties!$F$6:$F$13,MATCH(20,Blend_Properties!$A$6:$A$13,0))*Global_Assumptions!$B$66*Lifecycle_50yr!$B$15)+((INDEX(Blend_Properties!$G$6:$G$13,MATCH(20,Blend_Properties!$A$6:$A$13,0))*Global_Assumptions!$B$20+INDEX(Blend_Properties!$F$6:$F$13,MATCH(20,Blend_Properties!$A$6:$A$13,0))*Global_Assumptions!$B$68)*Lifecycle_50yr!$B$15)-(Lifecycle_50yr!$B$18+Lifecycle_50yr!$B$19+(Blend_Properties!$B$3*(1-INDEX(Blend_Properties!$B$6:$B$13,MATCH(20,Blend_Properties!$A$6:$A$13,0)))*Global_Assumptions!$B$16/(1+Global_Assumptions!$B$64*(20/100))*Lifecycle_50yr!$B$15)+(INDEX(Blend_Properties!$F$6:$F$13,MATCH(20,Blend_Properties!$A$6:$A$13,0))*Global_Assumptions!$B$13/(1+Global_Assumptions!$B$64*(20/100))*Lifecycle_50yr!$B$15)+(INDEX(Blend_Properties!$F$6:$F$13,MATCH(20,Blend_Properties!$A$6:$A$13,0))/365*Global_Assumptions!$B$49*Global_Assumptions!$B$48*Global_Assumptions!$B$65*Lifecycle_50yr!$B$15)+((INDEX(Blend_Properties!$F$6:$F$13,MATCH(20,Blend_Properties!$A$6:$A$13,0))*Global_Assumptions!$B$38*Global_Assumptions!$B$19+0.15*INDEX(Blend_Properties!$F$6:$F$13,MATCH(20,Blend_Properties!$A$6:$A$13,0)))*Lifecycle_50yr!$B$15+SUMIFS(Scenario_Results!$G$4:$G$27,Scenario_Results!$A$4:$A$27,20,Scenario_Results!$B$4:$B$27,TEA_Hydraulics!$B$3,Scenario_Results!$C$4:$C$27,"retrofit")*Global_Assumptions!$B$41+SUMIFS(Scenario_Results!$F$4:$F$27,Scenario_Results!$A$4:$A$27,20,Scenario_Results!$B$4:$B$27,TEA_Hydraulics!$B$3,Scenario_Results!$C$4:$C$27,"retrofit")*Global_Assumptions!$B$50))</f>
        <v/>
      </c>
      <c r="D19" s="82">
        <f>-B19+C19*$B$3</f>
        <v/>
      </c>
      <c r="E19" s="81">
        <f>Lifecycle_50yr!$B$15</f>
        <v/>
      </c>
    </row>
    <row r="20" ht="15" customHeight="1" s="45">
      <c r="A20" s="51" t="inlineStr">
        <is>
          <t>465 psig</t>
        </is>
      </c>
      <c r="B20" s="82">
        <f>(SUMIFS(Scenario_Results!$F$4:$F$27,Scenario_Results!$A$4:$A$27,20,Scenario_Results!$B$4:$B$27,TEA_Hydraulics!$B$3,Scenario_Results!$C$4:$C$27,"retrofit")+SUMIFS(Scenario_Results!$G$4:$G$27,Scenario_Results!$A$4:$A$27,20,Scenario_Results!$B$4:$B$27,TEA_Hydraulics!$B$3,Scenario_Results!$C$4:$C$27,"retrofit")+SUMIFS(Scenario_Results!$H$4:$H$27,Scenario_Results!$A$4:$A$27,20,Scenario_Results!$B$4:$B$27,TEA_Hydraulics!$B$3,Scenario_Results!$C$4:$C$27,"retrofit"))</f>
        <v/>
      </c>
      <c r="C20" s="82">
        <f>(INDEX(Blend_Properties!$F$6:$F$13,MATCH(20,Blend_Properties!$A$6:$A$13,0))*Global_Assumptions!$B$66*Lifecycle_50yr!$B$15)+((INDEX(Blend_Properties!$G$6:$G$13,MATCH(20,Blend_Properties!$A$6:$A$13,0))*Global_Assumptions!$B$20+INDEX(Blend_Properties!$F$6:$F$13,MATCH(20,Blend_Properties!$A$6:$A$13,0))*Global_Assumptions!$B$68)*Lifecycle_50yr!$B$15)-(Lifecycle_50yr!$B$18+Lifecycle_50yr!$B$19+(Blend_Properties!$B$3*(1-INDEX(Blend_Properties!$B$6:$B$13,MATCH(20,Blend_Properties!$A$6:$A$13,0)))*Global_Assumptions!$B$16/(1+Global_Assumptions!$B$64*(20/100))*Lifecycle_50yr!$B$15)+(INDEX(Blend_Properties!$F$6:$F$13,MATCH(20,Blend_Properties!$A$6:$A$13,0))*Global_Assumptions!$B$13/(1+Global_Assumptions!$B$64*(20/100))*Lifecycle_50yr!$B$15)+(INDEX(Blend_Properties!$F$6:$F$13,MATCH(20,Blend_Properties!$A$6:$A$13,0))/365*Global_Assumptions!$B$49*Global_Assumptions!$B$48*Global_Assumptions!$B$65*Lifecycle_50yr!$B$15)+((INDEX(Blend_Properties!$F$6:$F$13,MATCH(20,Blend_Properties!$A$6:$A$13,0))*Global_Assumptions!$B$38*Global_Assumptions!$B$19+0.15*INDEX(Blend_Properties!$F$6:$F$13,MATCH(20,Blend_Properties!$A$6:$A$13,0)))*Lifecycle_50yr!$B$15+SUMIFS(Scenario_Results!$G$4:$G$27,Scenario_Results!$A$4:$A$27,20,Scenario_Results!$B$4:$B$27,TEA_Hydraulics!$B$3,Scenario_Results!$C$4:$C$27,"retrofit")*Global_Assumptions!$B$41+SUMIFS(Scenario_Results!$F$4:$F$27,Scenario_Results!$A$4:$A$27,20,Scenario_Results!$B$4:$B$27,TEA_Hydraulics!$B$3,Scenario_Results!$C$4:$C$27,"retrofit")*Global_Assumptions!$B$50))</f>
        <v/>
      </c>
      <c r="D20" s="82">
        <f>-B20+C20*$B$3</f>
        <v/>
      </c>
      <c r="E20" s="81">
        <f>Lifecycle_50yr!$B$15</f>
        <v/>
      </c>
    </row>
    <row r="21" ht="15" customHeight="1" s="45">
      <c r="A21" s="51" t="inlineStr">
        <is>
          <t>600 psig</t>
        </is>
      </c>
      <c r="B21" s="82">
        <f>(SUMIFS(Scenario_Results!$F$4:$F$27,Scenario_Results!$A$4:$A$27,20,Scenario_Results!$B$4:$B$27,TEA_Hydraulics!$B$3,Scenario_Results!$C$4:$C$27,"retrofit")+SUMIFS(Scenario_Results!$G$4:$G$27,Scenario_Results!$A$4:$A$27,20,Scenario_Results!$B$4:$B$27,TEA_Hydraulics!$B$3,Scenario_Results!$C$4:$C$27,"retrofit")+SUMIFS(Scenario_Results!$H$4:$H$27,Scenario_Results!$A$4:$A$27,20,Scenario_Results!$B$4:$B$27,TEA_Hydraulics!$B$3,Scenario_Results!$C$4:$C$27,"retrofit"))</f>
        <v/>
      </c>
      <c r="C21" s="82">
        <f>(INDEX(Blend_Properties!$F$6:$F$13,MATCH(20,Blend_Properties!$A$6:$A$13,0))*Global_Assumptions!$B$66*Lifecycle_50yr!$B$15)+((INDEX(Blend_Properties!$G$6:$G$13,MATCH(20,Blend_Properties!$A$6:$A$13,0))*Global_Assumptions!$B$20+INDEX(Blend_Properties!$F$6:$F$13,MATCH(20,Blend_Properties!$A$6:$A$13,0))*Global_Assumptions!$B$68)*Lifecycle_50yr!$B$15)-(Lifecycle_50yr!$B$18+Lifecycle_50yr!$B$19+(Blend_Properties!$B$3*(1-INDEX(Blend_Properties!$B$6:$B$13,MATCH(20,Blend_Properties!$A$6:$A$13,0)))*Global_Assumptions!$B$16/(1+Global_Assumptions!$B$64*(20/100))*Lifecycle_50yr!$B$15)+(INDEX(Blend_Properties!$F$6:$F$13,MATCH(20,Blend_Properties!$A$6:$A$13,0))*Global_Assumptions!$B$13/(1+Global_Assumptions!$B$64*(20/100))*Lifecycle_50yr!$B$15)+(INDEX(Blend_Properties!$F$6:$F$13,MATCH(20,Blend_Properties!$A$6:$A$13,0))/365*Global_Assumptions!$B$49*Global_Assumptions!$B$48*Global_Assumptions!$B$65*Lifecycle_50yr!$B$15)+((INDEX(Blend_Properties!$F$6:$F$13,MATCH(20,Blend_Properties!$A$6:$A$13,0))*Global_Assumptions!$B$38*Global_Assumptions!$B$19+0.171*INDEX(Blend_Properties!$F$6:$F$13,MATCH(20,Blend_Properties!$A$6:$A$13,0)))*Lifecycle_50yr!$B$15+SUMIFS(Scenario_Results!$G$4:$G$27,Scenario_Results!$A$4:$A$27,20,Scenario_Results!$B$4:$B$27,TEA_Hydraulics!$B$3,Scenario_Results!$C$4:$C$27,"retrofit")*Global_Assumptions!$B$41+SUMIFS(Scenario_Results!$F$4:$F$27,Scenario_Results!$A$4:$A$27,20,Scenario_Results!$B$4:$B$27,TEA_Hydraulics!$B$3,Scenario_Results!$C$4:$C$27,"retrofit")*Global_Assumptions!$B$50))</f>
        <v/>
      </c>
      <c r="D21" s="82">
        <f>-B21+C21*$B$3</f>
        <v/>
      </c>
      <c r="E21" s="81">
        <f>Lifecycle_50yr!$B$15</f>
        <v/>
      </c>
    </row>
    <row r="22" ht="15" customHeight="1" s="45">
      <c r="A22" s="51" t="inlineStr">
        <is>
          <t>900 psig</t>
        </is>
      </c>
      <c r="B22" s="82">
        <f>(SUMIFS(Scenario_Results!$F$4:$F$27,Scenario_Results!$A$4:$A$27,20,Scenario_Results!$B$4:$B$27,TEA_Hydraulics!$B$3,Scenario_Results!$C$4:$C$27,"retrofit")+SUMIFS(Scenario_Results!$G$4:$G$27,Scenario_Results!$A$4:$A$27,20,Scenario_Results!$B$4:$B$27,TEA_Hydraulics!$B$3,Scenario_Results!$C$4:$C$27,"retrofit")+SUMIFS(Scenario_Results!$H$4:$H$27,Scenario_Results!$A$4:$A$27,20,Scenario_Results!$B$4:$B$27,TEA_Hydraulics!$B$3,Scenario_Results!$C$4:$C$27,"retrofit"))</f>
        <v/>
      </c>
      <c r="C22" s="82">
        <f>(INDEX(Blend_Properties!$F$6:$F$13,MATCH(20,Blend_Properties!$A$6:$A$13,0))*Global_Assumptions!$B$66*Lifecycle_50yr!$B$15)+((INDEX(Blend_Properties!$G$6:$G$13,MATCH(20,Blend_Properties!$A$6:$A$13,0))*Global_Assumptions!$B$20+INDEX(Blend_Properties!$F$6:$F$13,MATCH(20,Blend_Properties!$A$6:$A$13,0))*Global_Assumptions!$B$68)*Lifecycle_50yr!$B$15)-(Lifecycle_50yr!$B$18+Lifecycle_50yr!$B$19+(Blend_Properties!$B$3*(1-INDEX(Blend_Properties!$B$6:$B$13,MATCH(20,Blend_Properties!$A$6:$A$13,0)))*Global_Assumptions!$B$16/(1+Global_Assumptions!$B$64*(20/100))*Lifecycle_50yr!$B$15)+(INDEX(Blend_Properties!$F$6:$F$13,MATCH(20,Blend_Properties!$A$6:$A$13,0))*Global_Assumptions!$B$13/(1+Global_Assumptions!$B$64*(20/100))*Lifecycle_50yr!$B$15)+(INDEX(Blend_Properties!$F$6:$F$13,MATCH(20,Blend_Properties!$A$6:$A$13,0))/365*Global_Assumptions!$B$49*Global_Assumptions!$B$48*Global_Assumptions!$B$65*Lifecycle_50yr!$B$15)+((INDEX(Blend_Properties!$F$6:$F$13,MATCH(20,Blend_Properties!$A$6:$A$13,0))*Global_Assumptions!$B$38*Global_Assumptions!$B$19+0.2045*INDEX(Blend_Properties!$F$6:$F$13,MATCH(20,Blend_Properties!$A$6:$A$13,0)))*Lifecycle_50yr!$B$15+SUMIFS(Scenario_Results!$G$4:$G$27,Scenario_Results!$A$4:$A$27,20,Scenario_Results!$B$4:$B$27,TEA_Hydraulics!$B$3,Scenario_Results!$C$4:$C$27,"retrofit")*Global_Assumptions!$B$41+SUMIFS(Scenario_Results!$F$4:$F$27,Scenario_Results!$A$4:$A$27,20,Scenario_Results!$B$4:$B$27,TEA_Hydraulics!$B$3,Scenario_Results!$C$4:$C$27,"retrofit")*Global_Assumptions!$B$50))</f>
        <v/>
      </c>
      <c r="D22" s="82">
        <f>-B22+C22*$B$3</f>
        <v/>
      </c>
      <c r="E22" s="81">
        <f>Lifecycle_50yr!$B$15</f>
        <v/>
      </c>
    </row>
    <row r="23" ht="15" customHeight="1" s="45">
      <c r="A23" s="51" t="inlineStr">
        <is>
          <t>1200 psig</t>
        </is>
      </c>
      <c r="B23" s="82">
        <f>(SUMIFS(Scenario_Results!$F$4:$F$27,Scenario_Results!$A$4:$A$27,20,Scenario_Results!$B$4:$B$27,TEA_Hydraulics!$B$3,Scenario_Results!$C$4:$C$27,"retrofit")+SUMIFS(Scenario_Results!$G$4:$G$27,Scenario_Results!$A$4:$A$27,20,Scenario_Results!$B$4:$B$27,TEA_Hydraulics!$B$3,Scenario_Results!$C$4:$C$27,"retrofit")+SUMIFS(Scenario_Results!$H$4:$H$27,Scenario_Results!$A$4:$A$27,20,Scenario_Results!$B$4:$B$27,TEA_Hydraulics!$B$3,Scenario_Results!$C$4:$C$27,"retrofit"))</f>
        <v/>
      </c>
      <c r="C23" s="82">
        <f>(INDEX(Blend_Properties!$F$6:$F$13,MATCH(20,Blend_Properties!$A$6:$A$13,0))*Global_Assumptions!$B$66*Lifecycle_50yr!$B$15)+((INDEX(Blend_Properties!$G$6:$G$13,MATCH(20,Blend_Properties!$A$6:$A$13,0))*Global_Assumptions!$B$20+INDEX(Blend_Properties!$F$6:$F$13,MATCH(20,Blend_Properties!$A$6:$A$13,0))*Global_Assumptions!$B$68)*Lifecycle_50yr!$B$15)-(Lifecycle_50yr!$B$18+Lifecycle_50yr!$B$19+(Blend_Properties!$B$3*(1-INDEX(Blend_Properties!$B$6:$B$13,MATCH(20,Blend_Properties!$A$6:$A$13,0)))*Global_Assumptions!$B$16/(1+Global_Assumptions!$B$64*(20/100))*Lifecycle_50yr!$B$15)+(INDEX(Blend_Properties!$F$6:$F$13,MATCH(20,Blend_Properties!$A$6:$A$13,0))*Global_Assumptions!$B$13/(1+Global_Assumptions!$B$64*(20/100))*Lifecycle_50yr!$B$15)+(INDEX(Blend_Properties!$F$6:$F$13,MATCH(20,Blend_Properties!$A$6:$A$13,0))/365*Global_Assumptions!$B$49*Global_Assumptions!$B$48*Global_Assumptions!$B$65*Lifecycle_50yr!$B$15)+((INDEX(Blend_Properties!$F$6:$F$13,MATCH(20,Blend_Properties!$A$6:$A$13,0))*Global_Assumptions!$B$38*Global_Assumptions!$B$19+0.2282*INDEX(Blend_Properties!$F$6:$F$13,MATCH(20,Blend_Properties!$A$6:$A$13,0)))*Lifecycle_50yr!$B$15+SUMIFS(Scenario_Results!$G$4:$G$27,Scenario_Results!$A$4:$A$27,20,Scenario_Results!$B$4:$B$27,TEA_Hydraulics!$B$3,Scenario_Results!$C$4:$C$27,"retrofit")*Global_Assumptions!$B$41+SUMIFS(Scenario_Results!$F$4:$F$27,Scenario_Results!$A$4:$A$27,20,Scenario_Results!$B$4:$B$27,TEA_Hydraulics!$B$3,Scenario_Results!$C$4:$C$27,"retrofit")*Global_Assumptions!$B$50))</f>
        <v/>
      </c>
      <c r="D23" s="82">
        <f>-B23+C23*$B$3</f>
        <v/>
      </c>
      <c r="E23" s="81">
        <f>Lifecycle_50yr!$B$15</f>
        <v/>
      </c>
    </row>
    <row r="24" ht="15" customHeight="1" s="45">
      <c r="A24" s="51" t="inlineStr">
        <is>
          <t>1500 psig</t>
        </is>
      </c>
      <c r="B24" s="82">
        <f>(SUMIFS(Scenario_Results!$F$4:$F$27,Scenario_Results!$A$4:$A$27,20,Scenario_Results!$B$4:$B$27,TEA_Hydraulics!$B$3,Scenario_Results!$C$4:$C$27,"retrofit")+SUMIFS(Scenario_Results!$G$4:$G$27,Scenario_Results!$A$4:$A$27,20,Scenario_Results!$B$4:$B$27,TEA_Hydraulics!$B$3,Scenario_Results!$C$4:$C$27,"retrofit")+SUMIFS(Scenario_Results!$H$4:$H$27,Scenario_Results!$A$4:$A$27,20,Scenario_Results!$B$4:$B$27,TEA_Hydraulics!$B$3,Scenario_Results!$C$4:$C$27,"retrofit"))</f>
        <v/>
      </c>
      <c r="C24" s="82">
        <f>(INDEX(Blend_Properties!$F$6:$F$13,MATCH(20,Blend_Properties!$A$6:$A$13,0))*Global_Assumptions!$B$66*Lifecycle_50yr!$B$15)+((INDEX(Blend_Properties!$G$6:$G$13,MATCH(20,Blend_Properties!$A$6:$A$13,0))*Global_Assumptions!$B$20+INDEX(Blend_Properties!$F$6:$F$13,MATCH(20,Blend_Properties!$A$6:$A$13,0))*Global_Assumptions!$B$68)*Lifecycle_50yr!$B$15)-(Lifecycle_50yr!$B$18+Lifecycle_50yr!$B$19+(Blend_Properties!$B$3*(1-INDEX(Blend_Properties!$B$6:$B$13,MATCH(20,Blend_Properties!$A$6:$A$13,0)))*Global_Assumptions!$B$16/(1+Global_Assumptions!$B$64*(20/100))*Lifecycle_50yr!$B$15)+(INDEX(Blend_Properties!$F$6:$F$13,MATCH(20,Blend_Properties!$A$6:$A$13,0))*Global_Assumptions!$B$13/(1+Global_Assumptions!$B$64*(20/100))*Lifecycle_50yr!$B$15)+(INDEX(Blend_Properties!$F$6:$F$13,MATCH(20,Blend_Properties!$A$6:$A$13,0))/365*Global_Assumptions!$B$49*Global_Assumptions!$B$48*Global_Assumptions!$B$65*Lifecycle_50yr!$B$15)+((INDEX(Blend_Properties!$F$6:$F$13,MATCH(20,Blend_Properties!$A$6:$A$13,0))*Global_Assumptions!$B$38*Global_Assumptions!$B$19+0.2466*INDEX(Blend_Properties!$F$6:$F$13,MATCH(20,Blend_Properties!$A$6:$A$13,0)))*Lifecycle_50yr!$B$15+SUMIFS(Scenario_Results!$G$4:$G$27,Scenario_Results!$A$4:$A$27,20,Scenario_Results!$B$4:$B$27,TEA_Hydraulics!$B$3,Scenario_Results!$C$4:$C$27,"retrofit")*Global_Assumptions!$B$41+SUMIFS(Scenario_Results!$F$4:$F$27,Scenario_Results!$A$4:$A$27,20,Scenario_Results!$B$4:$B$27,TEA_Hydraulics!$B$3,Scenario_Results!$C$4:$C$27,"retrofit")*Global_Assumptions!$B$50))</f>
        <v/>
      </c>
      <c r="D24" s="82">
        <f>-B24+C24*$B$3</f>
        <v/>
      </c>
      <c r="E24" s="81">
        <f>Lifecycle_50yr!$B$15</f>
        <v/>
      </c>
    </row>
    <row r="26" ht="15" customHeight="1" s="45">
      <c r="A26" s="83" t="inlineStr">
        <is>
          <t>C. NPV vs pathway (20% blend, far injection)</t>
        </is>
      </c>
    </row>
    <row r="27" ht="15" customHeight="1" s="45">
      <c r="A27" s="55" t="inlineStr">
        <is>
          <t>Scenario</t>
        </is>
      </c>
      <c r="B27" s="55" t="inlineStr">
        <is>
          <t>CAPEX ($)</t>
        </is>
      </c>
      <c r="C27" s="55" t="inlineStr">
        <is>
          <t>Annual net ($/yr)</t>
        </is>
      </c>
      <c r="D27" s="55" t="inlineStr">
        <is>
          <t>NPV 50yr ($)</t>
        </is>
      </c>
      <c r="E27" s="55" t="inlineStr">
        <is>
          <t>Avail.</t>
        </is>
      </c>
    </row>
    <row r="28" ht="15" customHeight="1" s="45">
      <c r="A28" s="51" t="inlineStr">
        <is>
          <t>20% far retrofit</t>
        </is>
      </c>
      <c r="B28" s="82">
        <f>(SUMIFS(Scenario_Results!$F$4:$F$27,Scenario_Results!$A$4:$A$27,20,Scenario_Results!$B$4:$B$27,TEA_Hydraulics!$E$3,Scenario_Results!$C$4:$C$27,"retrofit")+SUMIFS(Scenario_Results!$G$4:$G$27,Scenario_Results!$A$4:$A$27,20,Scenario_Results!$B$4:$B$27,TEA_Hydraulics!$E$3,Scenario_Results!$C$4:$C$27,"retrofit")+SUMIFS(Scenario_Results!$H$4:$H$27,Scenario_Results!$A$4:$A$27,20,Scenario_Results!$B$4:$B$27,TEA_Hydraulics!$E$3,Scenario_Results!$C$4:$C$27,"retrofit"))</f>
        <v/>
      </c>
      <c r="C28" s="82">
        <f>(INDEX(Blend_Properties!$F$6:$F$13,MATCH(20,Blend_Properties!$A$6:$A$13,0))*Global_Assumptions!$B$66*Lifecycle_50yr!$B$15)+((INDEX(Blend_Properties!$G$6:$G$13,MATCH(20,Blend_Properties!$A$6:$A$13,0))*Global_Assumptions!$B$20+INDEX(Blend_Properties!$F$6:$F$13,MATCH(20,Blend_Properties!$A$6:$A$13,0))*Global_Assumptions!$B$68)*Lifecycle_50yr!$B$15)-(Lifecycle_50yr!$B$18+Lifecycle_50yr!$B$19+(Blend_Properties!$B$3*(1-INDEX(Blend_Properties!$B$6:$B$13,MATCH(20,Blend_Properties!$A$6:$A$13,0)))*Global_Assumptions!$B$16/(1+Global_Assumptions!$B$64*(20/100))*Lifecycle_50yr!$B$15)+(INDEX(Blend_Properties!$F$6:$F$13,MATCH(20,Blend_Properties!$A$6:$A$13,0))*Global_Assumptions!$B$13/(1+Global_Assumptions!$B$64*(20/100))*Lifecycle_50yr!$B$15)+(INDEX(Blend_Properties!$F$6:$F$13,MATCH(20,Blend_Properties!$A$6:$A$13,0))/365*Global_Assumptions!$B$49*Global_Assumptions!$B$48*Global_Assumptions!$B$65*Lifecycle_50yr!$B$15)+((INDEX(Blend_Properties!$F$6:$F$13,MATCH(20,Blend_Properties!$A$6:$A$13,0))*Global_Assumptions!$B$38*Global_Assumptions!$B$19+0.15*INDEX(Blend_Properties!$F$6:$F$13,MATCH(20,Blend_Properties!$A$6:$A$13,0)))*Lifecycle_50yr!$B$15+SUMIFS(Scenario_Results!$G$4:$G$27,Scenario_Results!$A$4:$A$27,20,Scenario_Results!$B$4:$B$27,TEA_Hydraulics!$E$3,Scenario_Results!$C$4:$C$27,"retrofit")*Global_Assumptions!$B$41+SUMIFS(Scenario_Results!$F$4:$F$27,Scenario_Results!$A$4:$A$27,20,Scenario_Results!$B$4:$B$27,TEA_Hydraulics!$E$3,Scenario_Results!$C$4:$C$27,"retrofit")*Global_Assumptions!$B$50))</f>
        <v/>
      </c>
      <c r="D28" s="82">
        <f>-B28+C28*$B$3</f>
        <v/>
      </c>
      <c r="E28" s="81">
        <f>Lifecycle_50yr!$B$15</f>
        <v/>
      </c>
    </row>
    <row r="29" ht="15" customHeight="1" s="45">
      <c r="A29" s="51" t="inlineStr">
        <is>
          <t>20% far new-build</t>
        </is>
      </c>
      <c r="B29" s="82">
        <f>(SUMIFS(Scenario_Results!$F$4:$F$27,Scenario_Results!$A$4:$A$27,20,Scenario_Results!$B$4:$B$27,TEA_Hydraulics!$E$3,Scenario_Results!$C$4:$C$27,"new")+SUMIFS(Scenario_Results!$G$4:$G$27,Scenario_Results!$A$4:$A$27,20,Scenario_Results!$B$4:$B$27,TEA_Hydraulics!$E$3,Scenario_Results!$C$4:$C$27,"new")+SUMIFS(Scenario_Results!$H$4:$H$27,Scenario_Results!$A$4:$A$27,20,Scenario_Results!$B$4:$B$27,TEA_Hydraulics!$E$3,Scenario_Results!$C$4:$C$27,"new"))</f>
        <v/>
      </c>
      <c r="C29" s="82">
        <f>(INDEX(Blend_Properties!$F$6:$F$13,MATCH(20,Blend_Properties!$A$6:$A$13,0))*Global_Assumptions!$B$66*Lifecycle_50yr!$B$15)+((INDEX(Blend_Properties!$G$6:$G$13,MATCH(20,Blend_Properties!$A$6:$A$13,0))*Global_Assumptions!$B$20+INDEX(Blend_Properties!$F$6:$F$13,MATCH(20,Blend_Properties!$A$6:$A$13,0))*Global_Assumptions!$B$68)*Lifecycle_50yr!$B$15)-(Lifecycle_50yr!$B$18+Lifecycle_50yr!$B$19+(Blend_Properties!$B$3*(1-INDEX(Blend_Properties!$B$6:$B$13,MATCH(20,Blend_Properties!$A$6:$A$13,0)))*Global_Assumptions!$B$16/(1+Global_Assumptions!$B$64*(20/100))*Lifecycle_50yr!$B$15)+(INDEX(Blend_Properties!$F$6:$F$13,MATCH(20,Blend_Properties!$A$6:$A$13,0))*Global_Assumptions!$B$13/(1+Global_Assumptions!$B$64*(20/100))*Lifecycle_50yr!$B$15)+(INDEX(Blend_Properties!$F$6:$F$13,MATCH(20,Blend_Properties!$A$6:$A$13,0))/365*Global_Assumptions!$B$49*Global_Assumptions!$B$48*Global_Assumptions!$B$65*Lifecycle_50yr!$B$15)+((INDEX(Blend_Properties!$F$6:$F$13,MATCH(20,Blend_Properties!$A$6:$A$13,0))*Global_Assumptions!$B$38*Global_Assumptions!$B$19+0.15*INDEX(Blend_Properties!$F$6:$F$13,MATCH(20,Blend_Properties!$A$6:$A$13,0)))*Lifecycle_50yr!$B$15+SUMIFS(Scenario_Results!$G$4:$G$27,Scenario_Results!$A$4:$A$27,20,Scenario_Results!$B$4:$B$27,TEA_Hydraulics!$E$3,Scenario_Results!$C$4:$C$27,"new")*Global_Assumptions!$B$41+SUMIFS(Scenario_Results!$F$4:$F$27,Scenario_Results!$A$4:$A$27,20,Scenario_Results!$B$4:$B$27,TEA_Hydraulics!$E$3,Scenario_Results!$C$4:$C$27,"new")*Global_Assumptions!$B$50))</f>
        <v/>
      </c>
      <c r="D29" s="82">
        <f>-B29+C29*$B$3</f>
        <v/>
      </c>
      <c r="E29" s="81">
        <f>Lifecycle_50yr!$B$15</f>
        <v/>
      </c>
    </row>
    <row r="31" ht="15" customHeight="1" s="45">
      <c r="A31" s="83" t="inlineStr">
        <is>
          <t>D. NPV vs injection point (20% blend, retrofit)</t>
        </is>
      </c>
    </row>
    <row r="32" ht="15" customHeight="1" s="45">
      <c r="A32" s="55" t="inlineStr">
        <is>
          <t>Scenario</t>
        </is>
      </c>
      <c r="B32" s="55" t="inlineStr">
        <is>
          <t>CAPEX ($)</t>
        </is>
      </c>
      <c r="C32" s="55" t="inlineStr">
        <is>
          <t>Annual net ($/yr)</t>
        </is>
      </c>
      <c r="D32" s="55" t="inlineStr">
        <is>
          <t>NPV 50yr ($)</t>
        </is>
      </c>
      <c r="E32" s="55" t="inlineStr">
        <is>
          <t>Avail.</t>
        </is>
      </c>
    </row>
    <row r="33" ht="15" customHeight="1" s="45">
      <c r="A33" s="51" t="inlineStr">
        <is>
          <t>20% near retrofit</t>
        </is>
      </c>
      <c r="B33" s="82">
        <f>(SUMIFS(Scenario_Results!$F$4:$F$27,Scenario_Results!$A$4:$A$27,20,Scenario_Results!$B$4:$B$27,TEA_Hydraulics!$B$3,Scenario_Results!$C$4:$C$27,"retrofit")+SUMIFS(Scenario_Results!$G$4:$G$27,Scenario_Results!$A$4:$A$27,20,Scenario_Results!$B$4:$B$27,TEA_Hydraulics!$B$3,Scenario_Results!$C$4:$C$27,"retrofit")+SUMIFS(Scenario_Results!$H$4:$H$27,Scenario_Results!$A$4:$A$27,20,Scenario_Results!$B$4:$B$27,TEA_Hydraulics!$B$3,Scenario_Results!$C$4:$C$27,"retrofit"))</f>
        <v/>
      </c>
      <c r="C33" s="82">
        <f>(INDEX(Blend_Properties!$F$6:$F$13,MATCH(20,Blend_Properties!$A$6:$A$13,0))*Global_Assumptions!$B$66*Lifecycle_50yr!$B$15)+((INDEX(Blend_Properties!$G$6:$G$13,MATCH(20,Blend_Properties!$A$6:$A$13,0))*Global_Assumptions!$B$20+INDEX(Blend_Properties!$F$6:$F$13,MATCH(20,Blend_Properties!$A$6:$A$13,0))*Global_Assumptions!$B$68)*Lifecycle_50yr!$B$15)-(Lifecycle_50yr!$B$18+Lifecycle_50yr!$B$19+(Blend_Properties!$B$3*(1-INDEX(Blend_Properties!$B$6:$B$13,MATCH(20,Blend_Properties!$A$6:$A$13,0)))*Global_Assumptions!$B$16/(1+Global_Assumptions!$B$64*(20/100))*Lifecycle_50yr!$B$15)+(INDEX(Blend_Properties!$F$6:$F$13,MATCH(20,Blend_Properties!$A$6:$A$13,0))*Global_Assumptions!$B$13/(1+Global_Assumptions!$B$64*(20/100))*Lifecycle_50yr!$B$15)+(INDEX(Blend_Properties!$F$6:$F$13,MATCH(20,Blend_Properties!$A$6:$A$13,0))/365*Global_Assumptions!$B$49*Global_Assumptions!$B$48*Global_Assumptions!$B$65*Lifecycle_50yr!$B$15)+((INDEX(Blend_Properties!$F$6:$F$13,MATCH(20,Blend_Properties!$A$6:$A$13,0))*Global_Assumptions!$B$38*Global_Assumptions!$B$19+0.15*INDEX(Blend_Properties!$F$6:$F$13,MATCH(20,Blend_Properties!$A$6:$A$13,0)))*Lifecycle_50yr!$B$15+SUMIFS(Scenario_Results!$G$4:$G$27,Scenario_Results!$A$4:$A$27,20,Scenario_Results!$B$4:$B$27,TEA_Hydraulics!$B$3,Scenario_Results!$C$4:$C$27,"retrofit")*Global_Assumptions!$B$41+SUMIFS(Scenario_Results!$F$4:$F$27,Scenario_Results!$A$4:$A$27,20,Scenario_Results!$B$4:$B$27,TEA_Hydraulics!$B$3,Scenario_Results!$C$4:$C$27,"retrofit")*Global_Assumptions!$B$50))</f>
        <v/>
      </c>
      <c r="D33" s="82">
        <f>-B33+C33*$B$3</f>
        <v/>
      </c>
      <c r="E33" s="81">
        <f>Lifecycle_50yr!$B$15</f>
        <v/>
      </c>
    </row>
    <row r="34" ht="15" customHeight="1" s="45">
      <c r="A34" s="51" t="inlineStr">
        <is>
          <t>20% far retrofit</t>
        </is>
      </c>
      <c r="B34" s="82">
        <f>(SUMIFS(Scenario_Results!$F$4:$F$27,Scenario_Results!$A$4:$A$27,20,Scenario_Results!$B$4:$B$27,TEA_Hydraulics!$E$3,Scenario_Results!$C$4:$C$27,"retrofit")+SUMIFS(Scenario_Results!$G$4:$G$27,Scenario_Results!$A$4:$A$27,20,Scenario_Results!$B$4:$B$27,TEA_Hydraulics!$E$3,Scenario_Results!$C$4:$C$27,"retrofit")+SUMIFS(Scenario_Results!$H$4:$H$27,Scenario_Results!$A$4:$A$27,20,Scenario_Results!$B$4:$B$27,TEA_Hydraulics!$E$3,Scenario_Results!$C$4:$C$27,"retrofit"))</f>
        <v/>
      </c>
      <c r="C34" s="82">
        <f>(INDEX(Blend_Properties!$F$6:$F$13,MATCH(20,Blend_Properties!$A$6:$A$13,0))*Global_Assumptions!$B$66*Lifecycle_50yr!$B$15)+((INDEX(Blend_Properties!$G$6:$G$13,MATCH(20,Blend_Properties!$A$6:$A$13,0))*Global_Assumptions!$B$20+INDEX(Blend_Properties!$F$6:$F$13,MATCH(20,Blend_Properties!$A$6:$A$13,0))*Global_Assumptions!$B$68)*Lifecycle_50yr!$B$15)-(Lifecycle_50yr!$B$18+Lifecycle_50yr!$B$19+(Blend_Properties!$B$3*(1-INDEX(Blend_Properties!$B$6:$B$13,MATCH(20,Blend_Properties!$A$6:$A$13,0)))*Global_Assumptions!$B$16/(1+Global_Assumptions!$B$64*(20/100))*Lifecycle_50yr!$B$15)+(INDEX(Blend_Properties!$F$6:$F$13,MATCH(20,Blend_Properties!$A$6:$A$13,0))*Global_Assumptions!$B$13/(1+Global_Assumptions!$B$64*(20/100))*Lifecycle_50yr!$B$15)+(INDEX(Blend_Properties!$F$6:$F$13,MATCH(20,Blend_Properties!$A$6:$A$13,0))/365*Global_Assumptions!$B$49*Global_Assumptions!$B$48*Global_Assumptions!$B$65*Lifecycle_50yr!$B$15)+((INDEX(Blend_Properties!$F$6:$F$13,MATCH(20,Blend_Properties!$A$6:$A$13,0))*Global_Assumptions!$B$38*Global_Assumptions!$B$19+0.15*INDEX(Blend_Properties!$F$6:$F$13,MATCH(20,Blend_Properties!$A$6:$A$13,0)))*Lifecycle_50yr!$B$15+SUMIFS(Scenario_Results!$G$4:$G$27,Scenario_Results!$A$4:$A$27,20,Scenario_Results!$B$4:$B$27,TEA_Hydraulics!$E$3,Scenario_Results!$C$4:$C$27,"retrofit")*Global_Assumptions!$B$41+SUMIFS(Scenario_Results!$F$4:$F$27,Scenario_Results!$A$4:$A$27,20,Scenario_Results!$B$4:$B$27,TEA_Hydraulics!$E$3,Scenario_Results!$C$4:$C$27,"retrofit")*Global_Assumptions!$B$50))</f>
        <v/>
      </c>
      <c r="D34" s="82">
        <f>-B34+C34*$B$3</f>
        <v/>
      </c>
      <c r="E34" s="81">
        <f>Lifecycle_50yr!$B$15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44" min="1" max="1"/>
    <col width="52" customWidth="1" style="44" min="2" max="2"/>
  </cols>
  <sheetData>
    <row r="1" ht="15.75" customHeight="1" s="45">
      <c r="A1" s="46" t="inlineStr">
        <is>
          <t>COMPILED TEA SUMMARY — UCI Microturbine</t>
        </is>
      </c>
    </row>
    <row r="2" ht="15" customHeight="1" s="45">
      <c r="A2" s="47" t="inlineStr">
        <is>
          <t>Cost breakdown, key drivers, tradeoffs and feasibility thresholds (20% blend, near retrofit).</t>
        </is>
      </c>
    </row>
    <row r="4" ht="15" customHeight="1" s="45">
      <c r="A4" s="50" t="inlineStr">
        <is>
          <t>System type</t>
        </is>
      </c>
      <c r="B4" s="51" t="inlineStr">
        <is>
          <t>End-use delivery (low demand)</t>
        </is>
      </c>
    </row>
    <row r="5" ht="15" customHeight="1" s="45">
      <c r="A5" s="50" t="inlineStr">
        <is>
          <t>End use</t>
        </is>
      </c>
      <c r="B5" s="51" t="inlineStr">
        <is>
          <t>Capstone C200 microturbine (~200 kW)</t>
        </is>
      </c>
    </row>
    <row r="6" ht="15" customHeight="1" s="45">
      <c r="A6" s="50" t="inlineStr">
        <is>
          <t>Operating/native pressure</t>
        </is>
      </c>
      <c r="B6" s="51" t="inlineStr">
        <is>
          <t>44 psig</t>
        </is>
      </c>
    </row>
    <row r="7" ht="15" customHeight="1" s="45">
      <c r="A7" s="50" t="inlineStr">
        <is>
          <t>H2 demand @20% blend (kg/yr)</t>
        </is>
      </c>
      <c r="B7" s="88">
        <f>Scenario_Results!D13</f>
        <v/>
      </c>
    </row>
    <row r="8" ht="15" customHeight="1" s="45">
      <c r="A8" s="50" t="inlineStr">
        <is>
          <t>Delivered LCOH near @20% ($/kg)</t>
        </is>
      </c>
      <c r="B8" s="74">
        <f>Scenario_Results!K13</f>
        <v/>
      </c>
    </row>
    <row r="9" ht="15" customHeight="1" s="45">
      <c r="A9" s="50" t="inlineStr">
        <is>
          <t>Delivered LCOH far @20% ($/kg)</t>
        </is>
      </c>
      <c r="B9" s="74">
        <f>Scenario_Results!K14</f>
        <v/>
      </c>
    </row>
    <row r="10" ht="15" customHeight="1" s="45">
      <c r="A10" s="50" t="inlineStr">
        <is>
          <t>Annualized CAPEX near ($/yr)</t>
        </is>
      </c>
      <c r="B10" s="88">
        <f>Scenario_Results!I13</f>
        <v/>
      </c>
    </row>
    <row r="11" ht="15" customHeight="1" s="45">
      <c r="A11" s="50" t="inlineStr">
        <is>
          <t>Annual OPEX near ($/yr)</t>
        </is>
      </c>
      <c r="B11" s="88">
        <f>Scenario_Results!J13</f>
        <v/>
      </c>
    </row>
    <row r="12" ht="15" customHeight="1" s="45">
      <c r="A12" s="50" t="inlineStr">
        <is>
          <t>$/tCO2e avoided @20%</t>
        </is>
      </c>
      <c r="B12" s="88">
        <f>Scenario_Results!M13</f>
        <v/>
      </c>
    </row>
    <row r="13" ht="15" customHeight="1" s="45">
      <c r="A13" s="50" t="inlineStr">
        <is>
          <t>Levelized carbon-capture ($/tCO2)</t>
        </is>
      </c>
      <c r="B13" s="88">
        <f>Scenario_Results!N13</f>
        <v/>
      </c>
    </row>
    <row r="15" ht="15" customHeight="1" s="45">
      <c r="A15" s="83" t="inlineStr">
        <is>
          <t>Key economic drivers</t>
        </is>
      </c>
    </row>
    <row r="16" ht="15" customHeight="1" s="45">
      <c r="A16" s="51" t="inlineStr">
        <is>
          <t>• H2 commodity price (dominant on LCOH)</t>
        </is>
      </c>
    </row>
    <row r="17" ht="15" customHeight="1" s="45">
      <c r="A17" s="51" t="inlineStr">
        <is>
          <t>• Injection distance (near vs 100-mi compressors)</t>
        </is>
      </c>
    </row>
    <row r="18" ht="15" customHeight="1" s="45">
      <c r="A18" s="51" t="inlineStr">
        <is>
          <t>• Blend level (raises cost, lowers delivered energy)</t>
        </is>
      </c>
    </row>
    <row r="19" ht="15" customHeight="1" s="45">
      <c r="A19" s="51" t="inlineStr">
        <is>
          <t>• Utilization / demand (inverse on LCOH)</t>
        </is>
      </c>
    </row>
    <row r="20" ht="15" customHeight="1" s="45">
      <c r="A20" s="51" t="inlineStr">
        <is>
          <t>• Delivery pressure (compression cost)</t>
        </is>
      </c>
    </row>
    <row r="21" ht="15" customHeight="1" s="45">
      <c r="A21" s="51" t="inlineStr">
        <is>
          <t>• IRA 45V &amp; LCFS credits (lower net cost)</t>
        </is>
      </c>
    </row>
    <row r="23" ht="15" customHeight="1" s="45">
      <c r="A23" s="83" t="inlineStr">
        <is>
          <t>Feasibility thresholds</t>
        </is>
      </c>
    </row>
    <row r="24" ht="30" customHeight="1" s="45">
      <c r="A24" s="49" t="inlineStr">
        <is>
          <t>Lowest cost: inject near end use, moderate blend (≤20%), lowest workable pressure, capture credits.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" customWidth="1" style="45" min="1" max="1"/>
    <col width="34" customWidth="1" style="45" min="2" max="2"/>
    <col width="16" customWidth="1" style="45" min="3" max="3"/>
    <col width="66" customWidth="1" style="45" min="4" max="4"/>
  </cols>
  <sheetData>
    <row r="1">
      <c r="A1" s="101" t="inlineStr">
        <is>
          <t>MINIMUM VALIDATION TESTS (auto-checked; recalculates on open)</t>
        </is>
      </c>
    </row>
    <row r="3">
      <c r="A3" s="70" t="inlineStr">
        <is>
          <t>#</t>
        </is>
      </c>
      <c r="B3" s="70" t="inlineStr">
        <is>
          <t>Test</t>
        </is>
      </c>
      <c r="C3" s="70" t="inlineStr">
        <is>
          <t>Result</t>
        </is>
      </c>
      <c r="D3" s="70" t="inlineStr">
        <is>
          <t>Basis / note</t>
        </is>
      </c>
    </row>
    <row r="4">
      <c r="A4" s="72" t="n">
        <v>1</v>
      </c>
      <c r="B4" s="72" t="inlineStr">
        <is>
          <t>Zero-blend</t>
        </is>
      </c>
      <c r="C4" s="72">
        <f>IF(AND(Blend_Properties!$F$6=0,Scenario_Results!$G$4=0,Scenario_Results!$L$4=0),"PASS","FAIL")</f>
        <v/>
      </c>
      <c r="D4" s="98" t="inlineStr">
        <is>
          <t>At 0% H2: demand, H2 CAPEX and CCS cost all zero.</t>
        </is>
      </c>
    </row>
    <row r="5">
      <c r="A5" s="72" t="n">
        <v>2</v>
      </c>
      <c r="B5" s="72" t="inlineStr">
        <is>
          <t>Baseline (incremental NPV=0)</t>
        </is>
      </c>
      <c r="C5" s="72">
        <f>IF(ABS(NPV_Comparison!$F$7)&lt;1,"PASS","FAIL")</f>
        <v/>
      </c>
      <c r="D5" s="98" t="inlineStr">
        <is>
          <t>Incremental NPV at 0% blend is zero by construction.</t>
        </is>
      </c>
    </row>
    <row r="6">
      <c r="A6" s="72" t="n">
        <v>3</v>
      </c>
      <c r="B6" s="72" t="inlineStr">
        <is>
          <t>Units (LHV consistent)</t>
        </is>
      </c>
      <c r="C6" s="72">
        <f>IF(ABS(Global_Assumptions!$B$25-Global_Assumptions!$B$24*0.0036)&lt;0.000001,"PASS","FAIL")</f>
        <v/>
      </c>
      <c r="D6" s="98" t="inlineStr">
        <is>
          <t>H2 GJ/kg equals LHV_kWh x 0.0036.</t>
        </is>
      </c>
    </row>
    <row r="7">
      <c r="A7" s="72" t="n">
        <v>4</v>
      </c>
      <c r="B7" s="72" t="inlineStr">
        <is>
          <t>Units (no $/kg + $/MWh sum)</t>
        </is>
      </c>
      <c r="C7" s="72">
        <f>IF(ABS(TEA_Network!$B$8-(TEA_Network!$B$4+TEA_Network!$B$5+TEA_Network!$B$6))&lt;0.000001,"PASS","FAIL")</f>
        <v/>
      </c>
      <c r="D7" s="98" t="inlineStr">
        <is>
          <t>Network total excludes the $/MWh integration term.</t>
        </is>
      </c>
    </row>
    <row r="8">
      <c r="A8" s="72" t="n">
        <v>5</v>
      </c>
      <c r="B8" s="72" t="inlineStr">
        <is>
          <t>Policy: 45V capped at 10 yr</t>
        </is>
      </c>
      <c r="C8" s="72">
        <f>IF(Global_Assumptions!$B$86=10,"PASS","FAIL")</f>
        <v/>
      </c>
      <c r="D8" s="98" t="inlineStr">
        <is>
          <t>45V duration input = 10 years; cashflow gates 45V to years 1..10.</t>
        </is>
      </c>
    </row>
    <row r="9">
      <c r="A9" s="72" t="n">
        <v>6</v>
      </c>
      <c r="B9" s="72" t="inlineStr">
        <is>
          <t>Credit: LCFS=0 in base case</t>
        </is>
      </c>
      <c r="C9" s="72">
        <f>IF(Global_Assumptions!$B$20=0,"PASS","FAIL")</f>
        <v/>
      </c>
      <c r="D9" s="98" t="inlineStr">
        <is>
          <t>LCFS is zero unless eligibility toggle = 1.</t>
        </is>
      </c>
    </row>
    <row r="10">
      <c r="A10" s="72" t="n">
        <v>7</v>
      </c>
      <c r="B10" s="72" t="inlineStr">
        <is>
          <t>Hydraulic: outlet pressure OK</t>
        </is>
      </c>
      <c r="C10" s="72">
        <f>"PRELIMINARY"</f>
        <v/>
      </c>
      <c r="D10" s="98" t="inlineStr">
        <is>
          <t>Not modelled — N_comp is a screening proxy; compressible hydraulics is future work.</t>
        </is>
      </c>
    </row>
    <row r="11">
      <c r="A11" s="72" t="n">
        <v>8</v>
      </c>
      <c r="B11" s="72" t="inlineStr">
        <is>
          <t>Availability consistency</t>
        </is>
      </c>
      <c r="C11" s="72">
        <f>IF(ABS(Global_Assumptions!$B$11-Lifecycle_50yr!$B$15)&lt;0.000001,"PASS","FAIL")</f>
        <v/>
      </c>
      <c r="D11" s="98" t="inlineStr">
        <is>
          <t>LCOH and cashflow use the same derived 50-yr mean availability.</t>
        </is>
      </c>
    </row>
    <row r="12">
      <c r="A12" s="72" t="n">
        <v>9</v>
      </c>
      <c r="B12" s="72" t="inlineStr">
        <is>
          <t>Reconciliation (dashboard/report)</t>
        </is>
      </c>
      <c r="C12" s="72">
        <f>"MANUAL"</f>
        <v/>
      </c>
      <c r="D12" s="98" t="inlineStr">
        <is>
          <t>Reconcile to a single engine; SoCalGas workbook not provided in this set.</t>
        </is>
      </c>
    </row>
    <row r="13">
      <c r="A13" s="72" t="n">
        <v>10</v>
      </c>
      <c r="B13" s="72" t="inlineStr">
        <is>
          <t>Manual benchmark (0/20/100%)</t>
        </is>
      </c>
      <c r="C13" s="72">
        <f>"MANUAL"</f>
        <v/>
      </c>
      <c r="D13" s="98" t="inlineStr">
        <is>
          <t>Independently reproduce the 0%, 20% and 100% cases before quoting results.</t>
        </is>
      </c>
    </row>
    <row r="15">
      <c r="B15" s="72" t="inlineStr">
        <is>
          <t>PASS/FAIL cells recalculate when the file is opened in Excel/LibreOffice.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style="45" min="1" max="1"/>
    <col width="96" customWidth="1" style="45" min="2" max="2"/>
  </cols>
  <sheetData>
    <row r="1">
      <c r="A1" s="101" t="inlineStr">
        <is>
          <t>CORRECTIONS APPLIED (technical review response)</t>
        </is>
      </c>
    </row>
    <row r="2">
      <c r="A2" s="102" t="inlineStr">
        <is>
          <t>PRELIMINARY / SCREENING ONLY — NON-DECISION-GRADE. These corrections fix boundary, unit, policy and consistency errors so the base case is defensible; they do not turn the suite into an investment-grade model.</t>
        </is>
      </c>
    </row>
    <row r="4">
      <c r="A4" s="70" t="inlineStr">
        <is>
          <t>Corrected in this revision</t>
        </is>
      </c>
      <c r="B4" s="71" t="n"/>
    </row>
    <row r="5">
      <c r="A5" s="72" t="inlineStr">
        <is>
          <t>1. Units (LHV)</t>
        </is>
      </c>
      <c r="B5" s="98" t="inlineStr">
        <is>
          <t>H2 energy content now LHV-consistent (=33.3 kWh/kg x 0.0036 = 0.11988 GJ/kg). The old 0.113745 was ~5.4% low and overstated H2 mass demand, cost, storage, compression and credits.</t>
        </is>
      </c>
    </row>
    <row r="6">
      <c r="A6" s="72" t="inlineStr">
        <is>
          <t>2. IRA 45V</t>
        </is>
      </c>
      <c r="B6" s="98" t="inlineStr">
        <is>
          <t>Removed from the base case. Behind an eligibility toggle; earned by the qualified H2 producer, capped at 10 years in the cashflow (was applied ~50 yrs to the end user).</t>
        </is>
      </c>
    </row>
    <row r="7">
      <c r="A7" s="72" t="inlineStr">
        <is>
          <t>3. LCFS</t>
        </is>
      </c>
      <c r="B7" s="98" t="inlineStr">
        <is>
          <t>Removed from the base case. Behind an eligibility toggle; eligible price repriced to CARB-recent ~$66/tCO2e (was $150). Stationary CHP/kiln/transport eligibility must be documented before use.</t>
        </is>
      </c>
    </row>
    <row r="8">
      <c r="A8" s="72" t="inlineStr">
        <is>
          <t>4. Offtake revenue</t>
        </is>
      </c>
      <c r="B8" s="98" t="inlineStr">
        <is>
          <t>The $4/kg H2 'production revenue' is OFF in the base case for end uses (a consumer cannot pay for H2 and also book production revenue). Use incremental NPV / avoided-cost framing.</t>
        </is>
      </c>
    </row>
    <row r="9">
      <c r="A9" s="72" t="inlineStr">
        <is>
          <t>5. CCS</t>
        </is>
      </c>
      <c r="B9" s="98" t="inlineStr">
        <is>
          <t>Now an explicit on/off option (default OFF). Previously CCS cost was charged in EVERY scenario, including 0% H2, inflating LCOH.</t>
        </is>
      </c>
    </row>
    <row r="10">
      <c r="A10" s="72" t="inlineStr">
        <is>
          <t>6. Efficiency sign</t>
        </is>
      </c>
      <c r="B10" s="98" t="inlineStr">
        <is>
          <t>Combustion efficiency rises slightly with H2 everywhere (Thermoflex); the Cashflow sheet previously used the opposite sign (a derate) vs the Fuel_Cost sheet.</t>
        </is>
      </c>
    </row>
    <row r="11">
      <c r="A11" s="72" t="inlineStr">
        <is>
          <t>7. Availability</t>
        </is>
      </c>
      <c r="B11" s="98" t="inlineStr">
        <is>
          <t>LCOH now uses the SAME derived 50-yr mean availability as the cashflow (was a fixed 0.97 in LCOH vs ~0.955 derived in the cashflow).</t>
        </is>
      </c>
    </row>
    <row r="12">
      <c r="A12" s="72" t="inlineStr">
        <is>
          <t>8. LCOH at 0%</t>
        </is>
      </c>
      <c r="B12" s="98" t="inlineStr">
        <is>
          <t>Shown as N/A (no hydrogen exists at 0% blend); removes the -$1.35/kg artefact at 0%.</t>
        </is>
      </c>
    </row>
    <row r="13">
      <c r="A13" s="72" t="inlineStr">
        <is>
          <t>9. Network units</t>
        </is>
      </c>
      <c r="B13" s="98" t="inlineStr">
        <is>
          <t>TEA_Network total no longer adds $/kg layers to a $/MWh integration term; the stale cached total is refreshed on recalculation.</t>
        </is>
      </c>
    </row>
    <row r="14">
      <c r="A14" s="72" t="inlineStr">
        <is>
          <t>10. Incremental NPV</t>
        </is>
      </c>
      <c r="B14" s="98" t="inlineStr">
        <is>
          <t>NPV_Comparison now reports NPV incremental to the 0% fossil baseline; the 0% incremental NPV is zero by construction. Absolute 'project' NPV is retained but flagged non-decision-grade.</t>
        </is>
      </c>
    </row>
    <row r="16">
      <c r="A16" s="103" t="inlineStr">
        <is>
          <t>Still preliminary / not rebuilt</t>
        </is>
      </c>
      <c r="B16" s="104" t="n"/>
    </row>
    <row r="17">
      <c r="A17" s="105" t="inlineStr">
        <is>
          <t>Hydraulics / compressors</t>
        </is>
      </c>
      <c r="B17" s="98" t="inlineStr">
        <is>
          <t>N_comp = MAX(1, distance/spacing x flow-factor) is a screening PROXY, not compressible pipeline hydraulics. It does not verify delivery pressure or compute compressor duty from pressure ratio. Do not treat compressor counts or the 3.1 kWh/kg adder as design values.</t>
        </is>
      </c>
    </row>
    <row r="18">
      <c r="A18" s="105" t="inlineStr">
        <is>
          <t>Reliability PoF</t>
        </is>
      </c>
      <c r="B18" s="98" t="inlineStr">
        <is>
          <t>Component PoF are cumulative 'at least one functional failure' probabilities, NOT catastrophic integrity risk, and must not be read alongside rupture probability as equivalent consequence.</t>
        </is>
      </c>
    </row>
    <row r="19">
      <c r="A19" s="105" t="inlineStr">
        <is>
          <t>Lifecycle degradation</t>
        </is>
      </c>
      <c r="B19" s="98" t="inlineStr">
        <is>
          <t>The lifecycle uses a CONSTANT hazard (exponential), not an age-dependent Weibull/renewal model, despite 'PoF rises with age' language. Residual-life claims are indicative only.</t>
        </is>
      </c>
    </row>
    <row r="20">
      <c r="A20" s="105" t="inlineStr">
        <is>
          <t>Pipe integrity</t>
        </is>
      </c>
      <c r="B20" s="98" t="inlineStr">
        <is>
          <t>The FCGR step multipliers are a screening failure-rate multiplier model, NOT probabilistic fracture mechanics. 'Integrity saturates at 20%' is an artefact of the imposed step function, not a physical result.</t>
        </is>
      </c>
    </row>
    <row r="21">
      <c r="A21" s="105" t="inlineStr">
        <is>
          <t>CAPEX scaling</t>
        </is>
      </c>
      <c r="B21" s="98" t="inlineStr">
        <is>
          <t>Pipeline $/mile, the $2M skid and compressor costs are not size/diameter/pressure/location-specific. Small low-utilisation loads (e.g. Fine Arts) show LCOH dominated by fixed-cost dilution, not technology cost.</t>
        </is>
      </c>
    </row>
    <row r="22">
      <c r="A22" s="105" t="inlineStr">
        <is>
          <t>Equipment limits</t>
        </is>
      </c>
      <c r="B22" s="98" t="inlineStr">
        <is>
          <t>The 6.89-bar H2 partial-pressure rule is an API-617 centrifugal-compressor concern, not a universal component acceptance criterion. Replacement CAPEX should follow component-specific qualification.</t>
        </is>
      </c>
    </row>
    <row r="23">
      <c r="A23" s="105" t="inlineStr">
        <is>
          <t>Prices</t>
        </is>
      </c>
      <c r="B23" s="98" t="inlineStr">
        <is>
          <t>H2 $2/kg is optimistic for clean delivered H2 (DOE ~$5-7/kg plant-gate); NG $4.74/GJ and electricity $0.235/kWh should be validated against actual bills/tariffs. Prices are screening placeholders.</t>
        </is>
      </c>
    </row>
    <row r="24">
      <c r="A24" s="105" t="inlineStr">
        <is>
          <t>Reconciliation</t>
        </is>
      </c>
      <c r="B24" s="98" t="inlineStr">
        <is>
          <t>A separate SoCalGas workbook referenced by the review was not provided; only 4 workbooks + the dashboard are in this set. Report/dashboard/workbook reconciliation to a single engine remains outstanding.</t>
        </is>
      </c>
    </row>
  </sheetData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2026-06-28T07:05:09Z</dcterms:created>
  <dcterms:modified xsi:type="dcterms:W3CDTF">2026-07-21T18:24:37Z</dcterms:modified>
  <cp:revision>0</cp:revision>
</cp:coreProperties>
</file>